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eau\Downloads\"/>
    </mc:Choice>
  </mc:AlternateContent>
  <xr:revisionPtr revIDLastSave="0" documentId="8_{E1F345C7-3F55-4CC2-9E6A-22F3B3E744A7}" xr6:coauthVersionLast="47" xr6:coauthVersionMax="47" xr10:uidLastSave="{00000000-0000-0000-0000-000000000000}"/>
  <bookViews>
    <workbookView xWindow="4980" yWindow="4980" windowWidth="43935" windowHeight="15345" activeTab="1" xr2:uid="{00000000-000D-0000-FFFF-FFFF00000000}"/>
  </bookViews>
  <sheets>
    <sheet name="ConversionTable" sheetId="6" r:id="rId1"/>
    <sheet name="All Colleagues" sheetId="1" r:id="rId2"/>
    <sheet name="John Otto" sheetId="2" r:id="rId3"/>
    <sheet name="Chad Smith" sheetId="3" r:id="rId4"/>
    <sheet name="Les Claypool" sheetId="4" r:id="rId5"/>
    <sheet name="Kevin Borich" sheetId="5" r:id="rId6"/>
  </sheets>
  <definedNames>
    <definedName name="_xlnm._FilterDatabase" localSheetId="1" hidden="1">'All Colleagues'!$A$1:$L$101</definedName>
    <definedName name="_xlnm._FilterDatabase" localSheetId="3" hidden="1">'Chad Smith'!$A$1:$J$26</definedName>
    <definedName name="_xlnm._FilterDatabase" localSheetId="2" hidden="1">'John Otto'!$A$1:$J$27</definedName>
    <definedName name="_xlnm._FilterDatabase" localSheetId="5" hidden="1">'Kevin Borich'!$A$1:$J$26</definedName>
    <definedName name="_xlnm._FilterDatabase" localSheetId="4" hidden="1">'Les Claypool'!$A$1:$J$25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2" i="1"/>
  <c r="B3" i="6"/>
  <c r="B4" i="6"/>
  <c r="B5" i="6"/>
  <c r="B2" i="6"/>
  <c r="A2" i="6" a="1"/>
  <c r="A2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<sst xmlns="http://schemas.openxmlformats.org/spreadsheetml/2006/main" count="1554" uniqueCount="157">
  <si>
    <t>Date</t>
  </si>
  <si>
    <t>Work</t>
  </si>
  <si>
    <t>Client</t>
  </si>
  <si>
    <t>Role</t>
  </si>
  <si>
    <t>Task Type</t>
  </si>
  <si>
    <t>Notes</t>
  </si>
  <si>
    <t>Time (Minutes)</t>
  </si>
  <si>
    <t>Fee Type</t>
  </si>
  <si>
    <t>ClientID</t>
  </si>
  <si>
    <t>WorkID</t>
  </si>
  <si>
    <t>BAS</t>
  </si>
  <si>
    <t>Bondi Bakery</t>
  </si>
  <si>
    <t>Bookkeeper</t>
  </si>
  <si>
    <t>Business Advisory</t>
  </si>
  <si>
    <t>prepare and review BAS workpapers</t>
  </si>
  <si>
    <t>Time and Materials</t>
  </si>
  <si>
    <t>DIq2AnHTmt9O</t>
  </si>
  <si>
    <t>Bookkeeping</t>
  </si>
  <si>
    <t>Outback Logistics</t>
  </si>
  <si>
    <t>Data Entry</t>
  </si>
  <si>
    <t>reconcile bank accounts for the month</t>
  </si>
  <si>
    <t>Fixed Fee</t>
  </si>
  <si>
    <t>uFrEHS2JpDzf</t>
  </si>
  <si>
    <t>Claude 101</t>
  </si>
  <si>
    <t>BAS Preparation</t>
  </si>
  <si>
    <t>follow up missing supplier invoices for BAS</t>
  </si>
  <si>
    <t>SRABr1VjArnV</t>
  </si>
  <si>
    <t>Compliance</t>
  </si>
  <si>
    <t>gxwvqcCh5esM</t>
  </si>
  <si>
    <t>Wallsend Hardware</t>
  </si>
  <si>
    <t>review uncoded statement lines</t>
  </si>
  <si>
    <t>bjhPInRVkLUh</t>
  </si>
  <si>
    <t>Year End</t>
  </si>
  <si>
    <t>Cessnock Earthmoving</t>
  </si>
  <si>
    <t>review trial balance</t>
  </si>
  <si>
    <t>RsQXXJcHPeOa</t>
  </si>
  <si>
    <t>Payroll</t>
  </si>
  <si>
    <t>Maitland Motors</t>
  </si>
  <si>
    <t>STP finalisation review</t>
  </si>
  <si>
    <t>KMzKG5mSoyPs</t>
  </si>
  <si>
    <t>process supplier invoices</t>
  </si>
  <si>
    <t>2Ztd26fEeVVh</t>
  </si>
  <si>
    <t>Lake Mac Landscaping</t>
  </si>
  <si>
    <t>roll forward client file</t>
  </si>
  <si>
    <t>XP9K63LSFZH3</t>
  </si>
  <si>
    <t>Harbour View Real Estate</t>
  </si>
  <si>
    <t>prepare financial statements</t>
  </si>
  <si>
    <t>xJpRa5HSUPwe</t>
  </si>
  <si>
    <t>Onboarding</t>
  </si>
  <si>
    <t>Betty's Cakes</t>
  </si>
  <si>
    <t>configure chart of accounts</t>
  </si>
  <si>
    <t>mq6OLkTkx9NI</t>
  </si>
  <si>
    <t>Setup</t>
  </si>
  <si>
    <t>set up bank feeds</t>
  </si>
  <si>
    <t>Y7gbtP7ySeQM</t>
  </si>
  <si>
    <t>Hunter Valley Wines Pty Ltd</t>
  </si>
  <si>
    <t>STP</t>
  </si>
  <si>
    <t>review leave balances</t>
  </si>
  <si>
    <t>QHqNgAC72qFl</t>
  </si>
  <si>
    <t>Sunrise Childcare</t>
  </si>
  <si>
    <t>HZKjht3X13np</t>
  </si>
  <si>
    <t>Saltwater Cafe</t>
  </si>
  <si>
    <t>year end adjustment journals</t>
  </si>
  <si>
    <t>ilC2eY1gOHaf</t>
  </si>
  <si>
    <t>Reef &amp; Beef Pty Ltd</t>
  </si>
  <si>
    <t>Reconciliation</t>
  </si>
  <si>
    <t>fix coding errors from prior month</t>
  </si>
  <si>
    <t>fAraVNqTIAae</t>
  </si>
  <si>
    <t>Merewether Yoga Studio</t>
  </si>
  <si>
    <t>EqEyPXS058H4</t>
  </si>
  <si>
    <t>import opening balances</t>
  </si>
  <si>
    <t>KPfA1lquCu2r</t>
  </si>
  <si>
    <t>chase missing receipts from client</t>
  </si>
  <si>
    <t>reconcile super payable accounts</t>
  </si>
  <si>
    <t>Ovz1dOOdTXgl</t>
  </si>
  <si>
    <t>Singleton Smash Repairs</t>
  </si>
  <si>
    <t>b0lnXv2Rra6f</t>
  </si>
  <si>
    <t>review draft BAS with client</t>
  </si>
  <si>
    <t>Burger Town</t>
  </si>
  <si>
    <t>Review</t>
  </si>
  <si>
    <t>reconcile loan accounts</t>
  </si>
  <si>
    <t>4CqpIqK3yn9F</t>
  </si>
  <si>
    <t>Team Member</t>
  </si>
  <si>
    <t>Kevin Borich</t>
  </si>
  <si>
    <t>Compliance Review</t>
  </si>
  <si>
    <t>Mayfield Mechanical</t>
  </si>
  <si>
    <t>Les Claypool</t>
  </si>
  <si>
    <t>Accountant</t>
  </si>
  <si>
    <t>review trust deed and minutes</t>
  </si>
  <si>
    <t>jc9LVC2JSxyj</t>
  </si>
  <si>
    <t>Bluegum Constructions</t>
  </si>
  <si>
    <t>Chad Smith</t>
  </si>
  <si>
    <t>lodge BAS via portal</t>
  </si>
  <si>
    <t>WzPTpjRxcDm4</t>
  </si>
  <si>
    <t>reconcile balance sheet at year end</t>
  </si>
  <si>
    <t>RTWPElndTdtd</t>
  </si>
  <si>
    <t>Tax Planning</t>
  </si>
  <si>
    <t>John Otto</t>
  </si>
  <si>
    <t>review estimated tax position</t>
  </si>
  <si>
    <t>Newcastle Surf Co</t>
  </si>
  <si>
    <t>U1jjQKxKDpI6</t>
  </si>
  <si>
    <t>lodge SuperStream payment</t>
  </si>
  <si>
    <t>X7TOrPMf7otY</t>
  </si>
  <si>
    <t>check fuel tax credits calculation</t>
  </si>
  <si>
    <t>Tax Return</t>
  </si>
  <si>
    <t>prepare draft tax return</t>
  </si>
  <si>
    <t>Superannuation</t>
  </si>
  <si>
    <t>SMSF</t>
  </si>
  <si>
    <t>review contributions cap position</t>
  </si>
  <si>
    <t>Strategic Planning</t>
  </si>
  <si>
    <t>budget vs actual variance analysis</t>
  </si>
  <si>
    <t>Eagles Nest Holdings</t>
  </si>
  <si>
    <t>V6b2JD6sy3ZH</t>
  </si>
  <si>
    <t>3BpdbIKaRdeb</t>
  </si>
  <si>
    <t>tUeC99enq522</t>
  </si>
  <si>
    <t>ACME 123</t>
  </si>
  <si>
    <t>set up Xero file for new client</t>
  </si>
  <si>
    <t>brnTP3fAbnFb</t>
  </si>
  <si>
    <t>review prior period workpapers</t>
  </si>
  <si>
    <t>Coastal Plumbing Services</t>
  </si>
  <si>
    <t>1sNLjVHWGaub</t>
  </si>
  <si>
    <t>review monthly management reports</t>
  </si>
  <si>
    <t>JRcoreogrNww</t>
  </si>
  <si>
    <t>Charlestown Dental</t>
  </si>
  <si>
    <t>q3UjrnvQ0Fp4</t>
  </si>
  <si>
    <t>prepare SMSF financial statements</t>
  </si>
  <si>
    <t>document investment strategy review</t>
  </si>
  <si>
    <t>model trust distribution scenarios</t>
  </si>
  <si>
    <t>prepare year-end tax plan draft</t>
  </si>
  <si>
    <t>reconcile SMSF bank feed</t>
  </si>
  <si>
    <t>check ASIC annual statement</t>
  </si>
  <si>
    <t>Yg7NZRBT7qYH</t>
  </si>
  <si>
    <t>UozD13kay5Wr</t>
  </si>
  <si>
    <t>FBT</t>
  </si>
  <si>
    <t>prepare FBT return draft</t>
  </si>
  <si>
    <t>0Wobtqn62tOy</t>
  </si>
  <si>
    <t>process termination pay</t>
  </si>
  <si>
    <t>DBTq0Zf2pCLx</t>
  </si>
  <si>
    <t>KPI review meeting</t>
  </si>
  <si>
    <t>reconcile motor vehicle log books</t>
  </si>
  <si>
    <t>gW2zMj518Y2b</t>
  </si>
  <si>
    <t>client meeting re cash flow</t>
  </si>
  <si>
    <t>Stockton Surfboards</t>
  </si>
  <si>
    <t>MPh3FPuRIlPx</t>
  </si>
  <si>
    <t>compliance checklist review</t>
  </si>
  <si>
    <t>vY2nOyreVvFQ</t>
  </si>
  <si>
    <t>6h8l7qgATtLF</t>
  </si>
  <si>
    <t>3ejxjnzuCdZy</t>
  </si>
  <si>
    <t>prepare board pack</t>
  </si>
  <si>
    <t>UkJzZsnWLtBP</t>
  </si>
  <si>
    <t>reconcile GST control accounts</t>
  </si>
  <si>
    <t>lodge FBT return</t>
  </si>
  <si>
    <t>process fortnightly payrun</t>
  </si>
  <si>
    <t>review prior year carry forwards</t>
  </si>
  <si>
    <t>pfbH9vOWOU6m</t>
  </si>
  <si>
    <t>New Key</t>
  </si>
  <si>
    <t>Obfuscated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</si>
</sst>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 mmm\ yyyy"/>
  </numFmts>
  <fonts count="3" x14ac:knownFonts="1">
    <font>
      <sz val="11"/>
      <name val="Calibri"/>
    </font>
    <font>
      <b/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  <xf numFmtId="49" fontId="0" fillId="0" borderId="0" xfId="0" applyNumberFormat="1"/>
    <xf numFmtId="49" fontId="1" fillId="0" borderId="0" xfId="0" applyNumberFormat="1" applyFont="1"/>
    <xf numFmtId="49" fontId="0" fillId="0" borderId="0" xfId="0" applyNumberFormat="1" applyAlignment="1">
      <alignment wrapText="1"/>
    </xf>
    <xf numFmtId="49" fontId="1" fillId="0" borderId="0" xfId="0" applyNumberFormat="1" applyFont="1" applyAlignment="1">
      <alignment wrapText="1"/>
    </xf>
    <xf numFmtId="0" fontId="2" fillId="0" borderId="0" xfId="0" applyFont="1"/>
    <xf numFmtId="49" fontId="2" fillId="2" borderId="0" xfId="0" applyNumberFormat="1" applyFont="1" applyFill="1"/>
    <xf numFmtId="0" fontId="0" fillId="2" borderId="0" xfId="0" applyFill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D2DBF-F994-4BCA-9173-0D31D81C0246}">
  <dimension ref="A1:B5"/>
  <sheetViews>
    <sheetView workbookViewId="0">
      <selection activeCell="C10" sqref="C10"/>
    </sheetView>
  </sheetViews>
  <sheetFormatPr defaultRowHeight="15" x14ac:dyDescent="0.25"/>
  <cols>
    <col min="1" max="1" width="14.140625" bestFit="1" customWidth="1"/>
  </cols>
  <sheetData>
    <row r="1" spans="1:2" x14ac:dyDescent="0.25">
      <c r="A1" s="8" t="s">
        <v>82</v>
      </c>
      <c r="B1" s="8" t="s">
        <v>155</v>
      </c>
    </row>
    <row r="2" spans="1:2" x14ac:dyDescent="0.25">
      <c r="A2" t="str" cm="1">
        <f t="array" ref="A2:A5">_xlfn.UNIQUE('All Colleagues'!D2:'All Colleagues'!D101)</f>
        <v>Kevin Borich</v>
      </c>
      <c r="B2" t="str">
        <f>"C" &amp; TEXT(ROW()-1+100, "000")</f>
        <v>C101</v>
      </c>
    </row>
    <row r="3" spans="1:2" x14ac:dyDescent="0.25">
      <c r="A3" t="str">
        <v>Les Claypool</v>
      </c>
      <c r="B3" t="str">
        <f t="shared" ref="B3:B5" si="0">"C" &amp; TEXT(ROW()-1+100, "000")</f>
        <v>C102</v>
      </c>
    </row>
    <row r="4" spans="1:2" x14ac:dyDescent="0.25">
      <c r="A4" t="str">
        <v>Chad Smith</v>
      </c>
      <c r="B4" t="str">
        <f t="shared" si="0"/>
        <v>C103</v>
      </c>
    </row>
    <row r="5" spans="1:2" x14ac:dyDescent="0.25">
      <c r="A5" t="str">
        <v>John Otto</v>
      </c>
      <c r="B5" t="str">
        <f t="shared" si="0"/>
        <v>C104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"/>
  <sheetViews>
    <sheetView tabSelected="1" workbookViewId="0">
      <pane ySplit="1" topLeftCell="A2" activePane="bottomLeft" state="frozen"/>
      <selection pane="bottomLeft" activeCell="E14" sqref="E14"/>
    </sheetView>
  </sheetViews>
  <sheetFormatPr defaultRowHeight="15" x14ac:dyDescent="0.25"/>
  <cols>
    <col min="1" max="1" width="15" style="2" customWidth="1"/>
    <col min="2" max="2" width="51.42578125" style="4" customWidth="1"/>
    <col min="3" max="3" width="53.7109375" style="4" customWidth="1"/>
    <col min="4" max="4" width="16" style="4" customWidth="1"/>
    <col min="5" max="5" width="16" style="11" customWidth="1"/>
    <col min="6" max="6" width="16.85546875" style="4" customWidth="1"/>
    <col min="7" max="7" width="20.28515625" style="4" customWidth="1"/>
    <col min="8" max="8" width="100" style="6" customWidth="1"/>
    <col min="9" max="9" width="15.140625" customWidth="1"/>
    <col min="10" max="10" width="18.28515625" style="4" customWidth="1"/>
    <col min="11" max="11" width="15" style="4" customWidth="1"/>
    <col min="12" max="12" width="17.140625" style="4" customWidth="1"/>
  </cols>
  <sheetData>
    <row r="1" spans="1:12" s="1" customFormat="1" x14ac:dyDescent="0.25">
      <c r="A1" s="3" t="s">
        <v>0</v>
      </c>
      <c r="B1" s="5" t="s">
        <v>1</v>
      </c>
      <c r="C1" s="5" t="s">
        <v>2</v>
      </c>
      <c r="D1" s="5" t="s">
        <v>82</v>
      </c>
      <c r="E1" s="9" t="s">
        <v>156</v>
      </c>
      <c r="F1" s="5" t="s">
        <v>3</v>
      </c>
      <c r="G1" s="5" t="s">
        <v>4</v>
      </c>
      <c r="H1" s="7" t="s">
        <v>5</v>
      </c>
      <c r="I1" s="1" t="s">
        <v>6</v>
      </c>
      <c r="J1" s="5" t="s">
        <v>7</v>
      </c>
      <c r="K1" s="5" t="s">
        <v>8</v>
      </c>
      <c r="L1" s="5" t="s">
        <v>9</v>
      </c>
    </row>
    <row r="2" spans="1:12" x14ac:dyDescent="0.25">
      <c r="A2" s="2">
        <v>46083</v>
      </c>
      <c r="B2" t="s">
        <v>10</v>
      </c>
      <c r="C2" t="s">
        <v>11</v>
      </c>
      <c r="D2" t="s">
        <v>83</v>
      </c>
      <c r="E2" s="10" t="str">
        <f>_xlfn.XLOOKUP(D2,ConversionTable!A$2:A$5, ConversionTable!B$2:B$5, "")</f>
        <v>C101</v>
      </c>
      <c r="F2" t="s">
        <v>12</v>
      </c>
      <c r="G2" t="s">
        <v>13</v>
      </c>
      <c r="H2" t="s">
        <v>14</v>
      </c>
      <c r="I2">
        <v>30</v>
      </c>
      <c r="J2" t="s">
        <v>15</v>
      </c>
      <c r="K2"/>
      <c r="L2" t="s">
        <v>16</v>
      </c>
    </row>
    <row r="3" spans="1:12" x14ac:dyDescent="0.25">
      <c r="A3" s="2">
        <v>46083</v>
      </c>
      <c r="B3" t="s">
        <v>17</v>
      </c>
      <c r="C3" t="s">
        <v>18</v>
      </c>
      <c r="D3" t="s">
        <v>83</v>
      </c>
      <c r="E3" s="10" t="str">
        <f>_xlfn.XLOOKUP(D3,ConversionTable!A$2:A$5, ConversionTable!B$2:B$5, "")</f>
        <v>C101</v>
      </c>
      <c r="F3" t="s">
        <v>12</v>
      </c>
      <c r="G3" t="s">
        <v>19</v>
      </c>
      <c r="H3" t="s">
        <v>20</v>
      </c>
      <c r="I3">
        <v>60</v>
      </c>
      <c r="J3" t="s">
        <v>21</v>
      </c>
      <c r="K3"/>
      <c r="L3" t="s">
        <v>22</v>
      </c>
    </row>
    <row r="4" spans="1:12" x14ac:dyDescent="0.25">
      <c r="A4" s="2">
        <v>46083</v>
      </c>
      <c r="B4" t="s">
        <v>84</v>
      </c>
      <c r="C4" t="s">
        <v>85</v>
      </c>
      <c r="D4" t="s">
        <v>86</v>
      </c>
      <c r="E4" s="10" t="str">
        <f>_xlfn.XLOOKUP(D4,ConversionTable!A$2:A$5, ConversionTable!B$2:B$5, "")</f>
        <v>C102</v>
      </c>
      <c r="F4" t="s">
        <v>87</v>
      </c>
      <c r="G4" t="s">
        <v>27</v>
      </c>
      <c r="H4" t="s">
        <v>88</v>
      </c>
      <c r="I4">
        <v>30</v>
      </c>
      <c r="J4" t="s">
        <v>21</v>
      </c>
      <c r="K4"/>
      <c r="L4" t="s">
        <v>89</v>
      </c>
    </row>
    <row r="5" spans="1:12" x14ac:dyDescent="0.25">
      <c r="A5" s="2">
        <v>46084</v>
      </c>
      <c r="B5" t="s">
        <v>10</v>
      </c>
      <c r="C5" t="s">
        <v>90</v>
      </c>
      <c r="D5" t="s">
        <v>91</v>
      </c>
      <c r="E5" s="10" t="str">
        <f>_xlfn.XLOOKUP(D5,ConversionTable!A$2:A$5, ConversionTable!B$2:B$5, "")</f>
        <v>C103</v>
      </c>
      <c r="F5" t="s">
        <v>12</v>
      </c>
      <c r="G5" t="s">
        <v>13</v>
      </c>
      <c r="H5" t="s">
        <v>92</v>
      </c>
      <c r="I5">
        <v>15</v>
      </c>
      <c r="J5" t="s">
        <v>21</v>
      </c>
      <c r="K5"/>
      <c r="L5" t="s">
        <v>93</v>
      </c>
    </row>
    <row r="6" spans="1:12" x14ac:dyDescent="0.25">
      <c r="A6" s="2">
        <v>46086</v>
      </c>
      <c r="B6" t="s">
        <v>10</v>
      </c>
      <c r="C6" t="s">
        <v>23</v>
      </c>
      <c r="D6" t="s">
        <v>83</v>
      </c>
      <c r="E6" s="10" t="str">
        <f>_xlfn.XLOOKUP(D6,ConversionTable!A$2:A$5, ConversionTable!B$2:B$5, "")</f>
        <v>C101</v>
      </c>
      <c r="F6" t="s">
        <v>12</v>
      </c>
      <c r="G6" t="s">
        <v>24</v>
      </c>
      <c r="H6" t="s">
        <v>25</v>
      </c>
      <c r="I6">
        <v>75</v>
      </c>
      <c r="J6" t="s">
        <v>21</v>
      </c>
      <c r="K6"/>
      <c r="L6" t="s">
        <v>26</v>
      </c>
    </row>
    <row r="7" spans="1:12" x14ac:dyDescent="0.25">
      <c r="A7" s="2">
        <v>46087</v>
      </c>
      <c r="B7" t="s">
        <v>32</v>
      </c>
      <c r="C7" t="s">
        <v>61</v>
      </c>
      <c r="D7" t="s">
        <v>91</v>
      </c>
      <c r="E7" s="10" t="str">
        <f>_xlfn.XLOOKUP(D7,ConversionTable!A$2:A$5, ConversionTable!B$2:B$5, "")</f>
        <v>C103</v>
      </c>
      <c r="F7" t="s">
        <v>12</v>
      </c>
      <c r="G7" t="s">
        <v>79</v>
      </c>
      <c r="H7" t="s">
        <v>94</v>
      </c>
      <c r="I7">
        <v>45</v>
      </c>
      <c r="J7" t="s">
        <v>21</v>
      </c>
      <c r="K7"/>
      <c r="L7" t="s">
        <v>95</v>
      </c>
    </row>
    <row r="8" spans="1:12" x14ac:dyDescent="0.25">
      <c r="A8" s="2">
        <v>46087</v>
      </c>
      <c r="B8" t="s">
        <v>96</v>
      </c>
      <c r="C8" t="s">
        <v>55</v>
      </c>
      <c r="D8" t="s">
        <v>97</v>
      </c>
      <c r="E8" s="10" t="str">
        <f>_xlfn.XLOOKUP(D8,ConversionTable!A$2:A$5, ConversionTable!B$2:B$5, "")</f>
        <v>C104</v>
      </c>
      <c r="F8" t="s">
        <v>87</v>
      </c>
      <c r="G8" t="s">
        <v>96</v>
      </c>
      <c r="H8" t="s">
        <v>98</v>
      </c>
      <c r="I8">
        <v>25</v>
      </c>
      <c r="J8" t="s">
        <v>15</v>
      </c>
      <c r="K8"/>
      <c r="L8" t="s">
        <v>58</v>
      </c>
    </row>
    <row r="9" spans="1:12" x14ac:dyDescent="0.25">
      <c r="A9" s="2">
        <v>46087</v>
      </c>
      <c r="B9" t="s">
        <v>10</v>
      </c>
      <c r="C9" t="s">
        <v>99</v>
      </c>
      <c r="D9" t="s">
        <v>86</v>
      </c>
      <c r="E9" s="10" t="str">
        <f>_xlfn.XLOOKUP(D9,ConversionTable!A$2:A$5, ConversionTable!B$2:B$5, "")</f>
        <v>C102</v>
      </c>
      <c r="F9" t="s">
        <v>87</v>
      </c>
      <c r="G9" t="s">
        <v>13</v>
      </c>
      <c r="H9" t="s">
        <v>14</v>
      </c>
      <c r="I9">
        <v>50</v>
      </c>
      <c r="J9" t="s">
        <v>21</v>
      </c>
      <c r="K9"/>
      <c r="L9" t="s">
        <v>100</v>
      </c>
    </row>
    <row r="10" spans="1:12" x14ac:dyDescent="0.25">
      <c r="A10" s="2">
        <v>46090</v>
      </c>
      <c r="B10" t="s">
        <v>36</v>
      </c>
      <c r="C10" t="s">
        <v>85</v>
      </c>
      <c r="D10" t="s">
        <v>91</v>
      </c>
      <c r="E10" s="10" t="str">
        <f>_xlfn.XLOOKUP(D10,ConversionTable!A$2:A$5, ConversionTable!B$2:B$5, "")</f>
        <v>C103</v>
      </c>
      <c r="F10" t="s">
        <v>12</v>
      </c>
      <c r="G10" t="s">
        <v>27</v>
      </c>
      <c r="H10" t="s">
        <v>101</v>
      </c>
      <c r="I10">
        <v>30</v>
      </c>
      <c r="J10" t="s">
        <v>15</v>
      </c>
      <c r="K10"/>
      <c r="L10" t="s">
        <v>102</v>
      </c>
    </row>
    <row r="11" spans="1:12" x14ac:dyDescent="0.25">
      <c r="A11" s="2">
        <v>46090</v>
      </c>
      <c r="B11" t="s">
        <v>10</v>
      </c>
      <c r="C11" t="s">
        <v>11</v>
      </c>
      <c r="D11" t="s">
        <v>91</v>
      </c>
      <c r="E11" s="10" t="str">
        <f>_xlfn.XLOOKUP(D11,ConversionTable!A$2:A$5, ConversionTable!B$2:B$5, "")</f>
        <v>C103</v>
      </c>
      <c r="F11" t="s">
        <v>12</v>
      </c>
      <c r="G11" t="s">
        <v>24</v>
      </c>
      <c r="H11" t="s">
        <v>103</v>
      </c>
      <c r="I11">
        <v>45</v>
      </c>
      <c r="J11" t="s">
        <v>21</v>
      </c>
      <c r="K11"/>
      <c r="L11" t="s">
        <v>16</v>
      </c>
    </row>
    <row r="12" spans="1:12" x14ac:dyDescent="0.25">
      <c r="A12" s="2">
        <v>46090</v>
      </c>
      <c r="B12" t="s">
        <v>10</v>
      </c>
      <c r="C12" t="s">
        <v>99</v>
      </c>
      <c r="D12" t="s">
        <v>97</v>
      </c>
      <c r="E12" s="10" t="str">
        <f>_xlfn.XLOOKUP(D12,ConversionTable!A$2:A$5, ConversionTable!B$2:B$5, "")</f>
        <v>C104</v>
      </c>
      <c r="F12" t="s">
        <v>87</v>
      </c>
      <c r="G12" t="s">
        <v>13</v>
      </c>
      <c r="H12" t="s">
        <v>92</v>
      </c>
      <c r="I12">
        <v>240</v>
      </c>
      <c r="J12" t="s">
        <v>21</v>
      </c>
      <c r="K12"/>
      <c r="L12" t="s">
        <v>100</v>
      </c>
    </row>
    <row r="13" spans="1:12" x14ac:dyDescent="0.25">
      <c r="A13" s="2">
        <v>46090</v>
      </c>
      <c r="B13" t="s">
        <v>10</v>
      </c>
      <c r="C13" t="s">
        <v>23</v>
      </c>
      <c r="D13" t="s">
        <v>83</v>
      </c>
      <c r="E13" s="10" t="str">
        <f>_xlfn.XLOOKUP(D13,ConversionTable!A$2:A$5, ConversionTable!B$2:B$5, "")</f>
        <v>C101</v>
      </c>
      <c r="F13" t="s">
        <v>12</v>
      </c>
      <c r="G13" t="s">
        <v>27</v>
      </c>
      <c r="H13" t="s">
        <v>14</v>
      </c>
      <c r="I13">
        <v>75</v>
      </c>
      <c r="J13" t="s">
        <v>21</v>
      </c>
      <c r="K13"/>
      <c r="L13" t="s">
        <v>28</v>
      </c>
    </row>
    <row r="14" spans="1:12" x14ac:dyDescent="0.25">
      <c r="A14" s="2">
        <v>46090</v>
      </c>
      <c r="B14" t="s">
        <v>104</v>
      </c>
      <c r="C14" t="s">
        <v>29</v>
      </c>
      <c r="D14" t="s">
        <v>86</v>
      </c>
      <c r="E14" s="10" t="str">
        <f>_xlfn.XLOOKUP(D14,ConversionTable!A$2:A$5, ConversionTable!B$2:B$5, "")</f>
        <v>C102</v>
      </c>
      <c r="F14" t="s">
        <v>87</v>
      </c>
      <c r="G14" t="s">
        <v>104</v>
      </c>
      <c r="H14" t="s">
        <v>105</v>
      </c>
      <c r="I14">
        <v>15</v>
      </c>
      <c r="J14" t="s">
        <v>21</v>
      </c>
      <c r="K14"/>
      <c r="L14" t="s">
        <v>31</v>
      </c>
    </row>
    <row r="15" spans="1:12" x14ac:dyDescent="0.25">
      <c r="A15" s="2">
        <v>46091</v>
      </c>
      <c r="B15" t="s">
        <v>17</v>
      </c>
      <c r="C15" t="s">
        <v>29</v>
      </c>
      <c r="D15" t="s">
        <v>83</v>
      </c>
      <c r="E15" s="10" t="str">
        <f>_xlfn.XLOOKUP(D15,ConversionTable!A$2:A$5, ConversionTable!B$2:B$5, "")</f>
        <v>C101</v>
      </c>
      <c r="F15" t="s">
        <v>12</v>
      </c>
      <c r="G15" t="s">
        <v>17</v>
      </c>
      <c r="H15" t="s">
        <v>30</v>
      </c>
      <c r="I15">
        <v>40</v>
      </c>
      <c r="J15" t="s">
        <v>21</v>
      </c>
      <c r="K15"/>
      <c r="L15" t="s">
        <v>31</v>
      </c>
    </row>
    <row r="16" spans="1:12" x14ac:dyDescent="0.25">
      <c r="A16" s="2">
        <v>46091</v>
      </c>
      <c r="B16" t="s">
        <v>32</v>
      </c>
      <c r="C16" t="s">
        <v>33</v>
      </c>
      <c r="D16" t="s">
        <v>83</v>
      </c>
      <c r="E16" s="10" t="str">
        <f>_xlfn.XLOOKUP(D16,ConversionTable!A$2:A$5, ConversionTable!B$2:B$5, "")</f>
        <v>C101</v>
      </c>
      <c r="F16" t="s">
        <v>12</v>
      </c>
      <c r="G16" t="s">
        <v>32</v>
      </c>
      <c r="H16" t="s">
        <v>34</v>
      </c>
      <c r="I16">
        <v>30</v>
      </c>
      <c r="J16" t="s">
        <v>21</v>
      </c>
      <c r="K16"/>
      <c r="L16" t="s">
        <v>35</v>
      </c>
    </row>
    <row r="17" spans="1:12" x14ac:dyDescent="0.25">
      <c r="A17" s="2">
        <v>46091</v>
      </c>
      <c r="B17" t="s">
        <v>10</v>
      </c>
      <c r="C17" t="s">
        <v>23</v>
      </c>
      <c r="D17" t="s">
        <v>86</v>
      </c>
      <c r="E17" s="10" t="str">
        <f>_xlfn.XLOOKUP(D17,ConversionTable!A$2:A$5, ConversionTable!B$2:B$5, "")</f>
        <v>C102</v>
      </c>
      <c r="F17" t="s">
        <v>87</v>
      </c>
      <c r="G17" t="s">
        <v>27</v>
      </c>
      <c r="H17" t="s">
        <v>14</v>
      </c>
      <c r="I17">
        <v>30</v>
      </c>
      <c r="J17" t="s">
        <v>21</v>
      </c>
      <c r="K17"/>
      <c r="L17" t="s">
        <v>28</v>
      </c>
    </row>
    <row r="18" spans="1:12" x14ac:dyDescent="0.25">
      <c r="A18" s="2">
        <v>46092</v>
      </c>
      <c r="B18" t="s">
        <v>106</v>
      </c>
      <c r="C18" t="s">
        <v>49</v>
      </c>
      <c r="D18" t="s">
        <v>97</v>
      </c>
      <c r="E18" s="10" t="str">
        <f>_xlfn.XLOOKUP(D18,ConversionTable!A$2:A$5, ConversionTable!B$2:B$5, "")</f>
        <v>C104</v>
      </c>
      <c r="F18" t="s">
        <v>87</v>
      </c>
      <c r="G18" t="s">
        <v>107</v>
      </c>
      <c r="H18" t="s">
        <v>108</v>
      </c>
      <c r="I18">
        <v>210</v>
      </c>
      <c r="J18" t="s">
        <v>21</v>
      </c>
      <c r="K18"/>
      <c r="L18" t="s">
        <v>51</v>
      </c>
    </row>
    <row r="19" spans="1:12" x14ac:dyDescent="0.25">
      <c r="A19" s="2">
        <v>46092</v>
      </c>
      <c r="B19" t="s">
        <v>13</v>
      </c>
      <c r="C19" t="s">
        <v>99</v>
      </c>
      <c r="D19" t="s">
        <v>86</v>
      </c>
      <c r="E19" s="10" t="str">
        <f>_xlfn.XLOOKUP(D19,ConversionTable!A$2:A$5, ConversionTable!B$2:B$5, "")</f>
        <v>C102</v>
      </c>
      <c r="F19" t="s">
        <v>87</v>
      </c>
      <c r="G19" t="s">
        <v>109</v>
      </c>
      <c r="H19" t="s">
        <v>110</v>
      </c>
      <c r="I19">
        <v>45</v>
      </c>
      <c r="J19" t="s">
        <v>15</v>
      </c>
      <c r="K19"/>
      <c r="L19" t="s">
        <v>100</v>
      </c>
    </row>
    <row r="20" spans="1:12" x14ac:dyDescent="0.25">
      <c r="A20" s="2">
        <v>46093</v>
      </c>
      <c r="B20" t="s">
        <v>17</v>
      </c>
      <c r="C20" t="s">
        <v>111</v>
      </c>
      <c r="D20" t="s">
        <v>91</v>
      </c>
      <c r="E20" s="10" t="str">
        <f>_xlfn.XLOOKUP(D20,ConversionTable!A$2:A$5, ConversionTable!B$2:B$5, "")</f>
        <v>C103</v>
      </c>
      <c r="F20" t="s">
        <v>12</v>
      </c>
      <c r="G20" t="s">
        <v>65</v>
      </c>
      <c r="H20" t="s">
        <v>30</v>
      </c>
      <c r="I20">
        <v>75</v>
      </c>
      <c r="J20" t="s">
        <v>15</v>
      </c>
      <c r="K20"/>
      <c r="L20" t="s">
        <v>112</v>
      </c>
    </row>
    <row r="21" spans="1:12" x14ac:dyDescent="0.25">
      <c r="A21" s="2">
        <v>46094</v>
      </c>
      <c r="B21" t="s">
        <v>32</v>
      </c>
      <c r="C21" t="s">
        <v>78</v>
      </c>
      <c r="D21" t="s">
        <v>91</v>
      </c>
      <c r="E21" s="10" t="str">
        <f>_xlfn.XLOOKUP(D21,ConversionTable!A$2:A$5, ConversionTable!B$2:B$5, "")</f>
        <v>C103</v>
      </c>
      <c r="F21" t="s">
        <v>12</v>
      </c>
      <c r="G21" t="s">
        <v>32</v>
      </c>
      <c r="H21" t="s">
        <v>80</v>
      </c>
      <c r="I21">
        <v>45</v>
      </c>
      <c r="J21" t="s">
        <v>21</v>
      </c>
      <c r="K21"/>
      <c r="L21" t="s">
        <v>81</v>
      </c>
    </row>
    <row r="22" spans="1:12" x14ac:dyDescent="0.25">
      <c r="A22" s="2">
        <v>46094</v>
      </c>
      <c r="B22" t="s">
        <v>36</v>
      </c>
      <c r="C22" t="s">
        <v>37</v>
      </c>
      <c r="D22" t="s">
        <v>83</v>
      </c>
      <c r="E22" s="10" t="str">
        <f>_xlfn.XLOOKUP(D22,ConversionTable!A$2:A$5, ConversionTable!B$2:B$5, "")</f>
        <v>C101</v>
      </c>
      <c r="F22" t="s">
        <v>12</v>
      </c>
      <c r="G22" t="s">
        <v>36</v>
      </c>
      <c r="H22" t="s">
        <v>38</v>
      </c>
      <c r="I22">
        <v>60</v>
      </c>
      <c r="J22" t="s">
        <v>21</v>
      </c>
      <c r="K22"/>
      <c r="L22" t="s">
        <v>39</v>
      </c>
    </row>
    <row r="23" spans="1:12" x14ac:dyDescent="0.25">
      <c r="A23" s="2">
        <v>46097</v>
      </c>
      <c r="B23" t="s">
        <v>104</v>
      </c>
      <c r="C23" t="s">
        <v>18</v>
      </c>
      <c r="D23" t="s">
        <v>97</v>
      </c>
      <c r="E23" s="10" t="str">
        <f>_xlfn.XLOOKUP(D23,ConversionTable!A$2:A$5, ConversionTable!B$2:B$5, "")</f>
        <v>C104</v>
      </c>
      <c r="F23" t="s">
        <v>87</v>
      </c>
      <c r="G23" t="s">
        <v>104</v>
      </c>
      <c r="H23" t="s">
        <v>105</v>
      </c>
      <c r="I23">
        <v>105</v>
      </c>
      <c r="J23" t="s">
        <v>21</v>
      </c>
      <c r="K23"/>
      <c r="L23" t="s">
        <v>113</v>
      </c>
    </row>
    <row r="24" spans="1:12" x14ac:dyDescent="0.25">
      <c r="A24" s="2">
        <v>46099</v>
      </c>
      <c r="B24" t="s">
        <v>36</v>
      </c>
      <c r="C24" t="s">
        <v>37</v>
      </c>
      <c r="D24" t="s">
        <v>91</v>
      </c>
      <c r="E24" s="10" t="str">
        <f>_xlfn.XLOOKUP(D24,ConversionTable!A$2:A$5, ConversionTable!B$2:B$5, "")</f>
        <v>C103</v>
      </c>
      <c r="F24" t="s">
        <v>12</v>
      </c>
      <c r="G24" t="s">
        <v>56</v>
      </c>
      <c r="H24" t="s">
        <v>38</v>
      </c>
      <c r="I24">
        <v>20</v>
      </c>
      <c r="J24" t="s">
        <v>21</v>
      </c>
      <c r="K24"/>
      <c r="L24" t="s">
        <v>114</v>
      </c>
    </row>
    <row r="25" spans="1:12" x14ac:dyDescent="0.25">
      <c r="A25" s="2">
        <v>46099</v>
      </c>
      <c r="B25" t="s">
        <v>32</v>
      </c>
      <c r="C25" t="s">
        <v>18</v>
      </c>
      <c r="D25" t="s">
        <v>97</v>
      </c>
      <c r="E25" s="10" t="str">
        <f>_xlfn.XLOOKUP(D25,ConversionTable!A$2:A$5, ConversionTable!B$2:B$5, "")</f>
        <v>C104</v>
      </c>
      <c r="F25" t="s">
        <v>87</v>
      </c>
      <c r="G25" t="s">
        <v>79</v>
      </c>
      <c r="H25" t="s">
        <v>80</v>
      </c>
      <c r="I25">
        <v>45</v>
      </c>
      <c r="J25" t="s">
        <v>21</v>
      </c>
      <c r="K25"/>
      <c r="L25" t="s">
        <v>74</v>
      </c>
    </row>
    <row r="26" spans="1:12" x14ac:dyDescent="0.25">
      <c r="A26" s="2">
        <v>46099</v>
      </c>
      <c r="B26" t="s">
        <v>48</v>
      </c>
      <c r="C26" t="s">
        <v>115</v>
      </c>
      <c r="D26" t="s">
        <v>97</v>
      </c>
      <c r="E26" s="10" t="str">
        <f>_xlfn.XLOOKUP(D26,ConversionTable!A$2:A$5, ConversionTable!B$2:B$5, "")</f>
        <v>C104</v>
      </c>
      <c r="F26" t="s">
        <v>87</v>
      </c>
      <c r="G26" t="s">
        <v>17</v>
      </c>
      <c r="H26" t="s">
        <v>116</v>
      </c>
      <c r="I26">
        <v>60</v>
      </c>
      <c r="J26" t="s">
        <v>21</v>
      </c>
      <c r="K26"/>
      <c r="L26" t="s">
        <v>117</v>
      </c>
    </row>
    <row r="27" spans="1:12" x14ac:dyDescent="0.25">
      <c r="A27" s="2">
        <v>46099</v>
      </c>
      <c r="B27" t="s">
        <v>17</v>
      </c>
      <c r="C27" t="s">
        <v>11</v>
      </c>
      <c r="D27" t="s">
        <v>83</v>
      </c>
      <c r="E27" s="10" t="str">
        <f>_xlfn.XLOOKUP(D27,ConversionTable!A$2:A$5, ConversionTable!B$2:B$5, "")</f>
        <v>C101</v>
      </c>
      <c r="F27" t="s">
        <v>12</v>
      </c>
      <c r="G27" t="s">
        <v>17</v>
      </c>
      <c r="H27" t="s">
        <v>40</v>
      </c>
      <c r="I27">
        <v>25</v>
      </c>
      <c r="J27" t="s">
        <v>21</v>
      </c>
      <c r="K27"/>
      <c r="L27" t="s">
        <v>41</v>
      </c>
    </row>
    <row r="28" spans="1:12" x14ac:dyDescent="0.25">
      <c r="A28" s="2">
        <v>46099</v>
      </c>
      <c r="B28" t="s">
        <v>32</v>
      </c>
      <c r="C28" t="s">
        <v>42</v>
      </c>
      <c r="D28" t="s">
        <v>83</v>
      </c>
      <c r="E28" s="10" t="str">
        <f>_xlfn.XLOOKUP(D28,ConversionTable!A$2:A$5, ConversionTable!B$2:B$5, "")</f>
        <v>C101</v>
      </c>
      <c r="F28" t="s">
        <v>12</v>
      </c>
      <c r="G28" t="s">
        <v>27</v>
      </c>
      <c r="H28" t="s">
        <v>43</v>
      </c>
      <c r="I28">
        <v>35</v>
      </c>
      <c r="J28" t="s">
        <v>21</v>
      </c>
      <c r="K28"/>
      <c r="L28" t="s">
        <v>44</v>
      </c>
    </row>
    <row r="29" spans="1:12" x14ac:dyDescent="0.25">
      <c r="A29" s="2">
        <v>46100</v>
      </c>
      <c r="B29" t="s">
        <v>84</v>
      </c>
      <c r="C29" t="s">
        <v>61</v>
      </c>
      <c r="D29" t="s">
        <v>97</v>
      </c>
      <c r="E29" s="10" t="str">
        <f>_xlfn.XLOOKUP(D29,ConversionTable!A$2:A$5, ConversionTable!B$2:B$5, "")</f>
        <v>C104</v>
      </c>
      <c r="F29" t="s">
        <v>87</v>
      </c>
      <c r="G29" t="s">
        <v>27</v>
      </c>
      <c r="H29" t="s">
        <v>118</v>
      </c>
      <c r="I29">
        <v>75</v>
      </c>
      <c r="J29" t="s">
        <v>21</v>
      </c>
      <c r="K29"/>
      <c r="L29" t="s">
        <v>95</v>
      </c>
    </row>
    <row r="30" spans="1:12" x14ac:dyDescent="0.25">
      <c r="A30" s="2">
        <v>46100</v>
      </c>
      <c r="B30" t="s">
        <v>32</v>
      </c>
      <c r="C30" t="s">
        <v>45</v>
      </c>
      <c r="D30" t="s">
        <v>83</v>
      </c>
      <c r="E30" s="10" t="str">
        <f>_xlfn.XLOOKUP(D30,ConversionTable!A$2:A$5, ConversionTable!B$2:B$5, "")</f>
        <v>C101</v>
      </c>
      <c r="F30" t="s">
        <v>12</v>
      </c>
      <c r="G30" t="s">
        <v>27</v>
      </c>
      <c r="H30" t="s">
        <v>46</v>
      </c>
      <c r="I30">
        <v>90</v>
      </c>
      <c r="J30" t="s">
        <v>21</v>
      </c>
      <c r="K30"/>
      <c r="L30" t="s">
        <v>47</v>
      </c>
    </row>
    <row r="31" spans="1:12" x14ac:dyDescent="0.25">
      <c r="A31" s="2">
        <v>46101</v>
      </c>
      <c r="B31" t="s">
        <v>36</v>
      </c>
      <c r="C31" t="s">
        <v>119</v>
      </c>
      <c r="D31" t="s">
        <v>91</v>
      </c>
      <c r="E31" s="10" t="str">
        <f>_xlfn.XLOOKUP(D31,ConversionTable!A$2:A$5, ConversionTable!B$2:B$5, "")</f>
        <v>C103</v>
      </c>
      <c r="F31" t="s">
        <v>12</v>
      </c>
      <c r="G31" t="s">
        <v>27</v>
      </c>
      <c r="H31" t="s">
        <v>101</v>
      </c>
      <c r="I31">
        <v>120</v>
      </c>
      <c r="J31" t="s">
        <v>21</v>
      </c>
      <c r="K31"/>
      <c r="L31" t="s">
        <v>120</v>
      </c>
    </row>
    <row r="32" spans="1:12" x14ac:dyDescent="0.25">
      <c r="A32" s="2">
        <v>46101</v>
      </c>
      <c r="B32" t="s">
        <v>48</v>
      </c>
      <c r="C32" t="s">
        <v>49</v>
      </c>
      <c r="D32" t="s">
        <v>83</v>
      </c>
      <c r="E32" s="10" t="str">
        <f>_xlfn.XLOOKUP(D32,ConversionTable!A$2:A$5, ConversionTable!B$2:B$5, "")</f>
        <v>C101</v>
      </c>
      <c r="F32" t="s">
        <v>12</v>
      </c>
      <c r="G32" t="s">
        <v>17</v>
      </c>
      <c r="H32" t="s">
        <v>50</v>
      </c>
      <c r="I32">
        <v>40</v>
      </c>
      <c r="J32" t="s">
        <v>21</v>
      </c>
      <c r="K32"/>
      <c r="L32" t="s">
        <v>51</v>
      </c>
    </row>
    <row r="33" spans="1:12" x14ac:dyDescent="0.25">
      <c r="A33" s="2">
        <v>46101</v>
      </c>
      <c r="B33" t="s">
        <v>13</v>
      </c>
      <c r="C33" t="s">
        <v>78</v>
      </c>
      <c r="D33" t="s">
        <v>86</v>
      </c>
      <c r="E33" s="10" t="str">
        <f>_xlfn.XLOOKUP(D33,ConversionTable!A$2:A$5, ConversionTable!B$2:B$5, "")</f>
        <v>C102</v>
      </c>
      <c r="F33" t="s">
        <v>87</v>
      </c>
      <c r="G33" t="s">
        <v>13</v>
      </c>
      <c r="H33" t="s">
        <v>121</v>
      </c>
      <c r="I33">
        <v>120</v>
      </c>
      <c r="J33" t="s">
        <v>15</v>
      </c>
      <c r="K33"/>
      <c r="L33" t="s">
        <v>81</v>
      </c>
    </row>
    <row r="34" spans="1:12" x14ac:dyDescent="0.25">
      <c r="A34" s="2">
        <v>46101</v>
      </c>
      <c r="B34" t="s">
        <v>32</v>
      </c>
      <c r="C34" t="s">
        <v>49</v>
      </c>
      <c r="D34" t="s">
        <v>86</v>
      </c>
      <c r="E34" s="10" t="str">
        <f>_xlfn.XLOOKUP(D34,ConversionTable!A$2:A$5, ConversionTable!B$2:B$5, "")</f>
        <v>C102</v>
      </c>
      <c r="F34" t="s">
        <v>87</v>
      </c>
      <c r="G34" t="s">
        <v>79</v>
      </c>
      <c r="H34" t="s">
        <v>94</v>
      </c>
      <c r="I34">
        <v>40</v>
      </c>
      <c r="J34" t="s">
        <v>21</v>
      </c>
      <c r="K34"/>
      <c r="L34" t="s">
        <v>122</v>
      </c>
    </row>
    <row r="35" spans="1:12" x14ac:dyDescent="0.25">
      <c r="A35" s="2">
        <v>46101</v>
      </c>
      <c r="B35" t="s">
        <v>48</v>
      </c>
      <c r="C35" t="s">
        <v>42</v>
      </c>
      <c r="D35" t="s">
        <v>86</v>
      </c>
      <c r="E35" s="10" t="str">
        <f>_xlfn.XLOOKUP(D35,ConversionTable!A$2:A$5, ConversionTable!B$2:B$5, "")</f>
        <v>C102</v>
      </c>
      <c r="F35" t="s">
        <v>87</v>
      </c>
      <c r="G35" t="s">
        <v>17</v>
      </c>
      <c r="H35" t="s">
        <v>53</v>
      </c>
      <c r="I35">
        <v>180</v>
      </c>
      <c r="J35" t="s">
        <v>21</v>
      </c>
      <c r="K35"/>
      <c r="L35" t="s">
        <v>44</v>
      </c>
    </row>
    <row r="36" spans="1:12" x14ac:dyDescent="0.25">
      <c r="A36" s="2">
        <v>46104</v>
      </c>
      <c r="B36" t="s">
        <v>36</v>
      </c>
      <c r="C36" t="s">
        <v>123</v>
      </c>
      <c r="D36" t="s">
        <v>91</v>
      </c>
      <c r="E36" s="10" t="str">
        <f>_xlfn.XLOOKUP(D36,ConversionTable!A$2:A$5, ConversionTable!B$2:B$5, "")</f>
        <v>C103</v>
      </c>
      <c r="F36" t="s">
        <v>12</v>
      </c>
      <c r="G36" t="s">
        <v>56</v>
      </c>
      <c r="H36" t="s">
        <v>38</v>
      </c>
      <c r="I36">
        <v>60</v>
      </c>
      <c r="J36" t="s">
        <v>21</v>
      </c>
      <c r="K36"/>
      <c r="L36" t="s">
        <v>124</v>
      </c>
    </row>
    <row r="37" spans="1:12" x14ac:dyDescent="0.25">
      <c r="A37" s="2">
        <v>46105</v>
      </c>
      <c r="B37" t="s">
        <v>10</v>
      </c>
      <c r="C37" t="s">
        <v>18</v>
      </c>
      <c r="D37" t="s">
        <v>86</v>
      </c>
      <c r="E37" s="10" t="str">
        <f>_xlfn.XLOOKUP(D37,ConversionTable!A$2:A$5, ConversionTable!B$2:B$5, "")</f>
        <v>C102</v>
      </c>
      <c r="F37" t="s">
        <v>87</v>
      </c>
      <c r="G37" t="s">
        <v>24</v>
      </c>
      <c r="H37" t="s">
        <v>25</v>
      </c>
      <c r="I37">
        <v>105</v>
      </c>
      <c r="J37" t="s">
        <v>21</v>
      </c>
      <c r="K37"/>
      <c r="L37" t="s">
        <v>113</v>
      </c>
    </row>
    <row r="38" spans="1:12" x14ac:dyDescent="0.25">
      <c r="A38" s="2">
        <v>46106</v>
      </c>
      <c r="B38" t="s">
        <v>32</v>
      </c>
      <c r="C38" t="s">
        <v>29</v>
      </c>
      <c r="D38" t="s">
        <v>97</v>
      </c>
      <c r="E38" s="10" t="str">
        <f>_xlfn.XLOOKUP(D38,ConversionTable!A$2:A$5, ConversionTable!B$2:B$5, "")</f>
        <v>C104</v>
      </c>
      <c r="F38" t="s">
        <v>87</v>
      </c>
      <c r="G38" t="s">
        <v>79</v>
      </c>
      <c r="H38" t="s">
        <v>62</v>
      </c>
      <c r="I38">
        <v>60</v>
      </c>
      <c r="J38" t="s">
        <v>21</v>
      </c>
      <c r="K38"/>
      <c r="L38" t="s">
        <v>54</v>
      </c>
    </row>
    <row r="39" spans="1:12" x14ac:dyDescent="0.25">
      <c r="A39" s="2">
        <v>46106</v>
      </c>
      <c r="B39" t="s">
        <v>106</v>
      </c>
      <c r="C39" t="s">
        <v>68</v>
      </c>
      <c r="D39" t="s">
        <v>97</v>
      </c>
      <c r="E39" s="10" t="str">
        <f>_xlfn.XLOOKUP(D39,ConversionTable!A$2:A$5, ConversionTable!B$2:B$5, "")</f>
        <v>C104</v>
      </c>
      <c r="F39" t="s">
        <v>87</v>
      </c>
      <c r="G39" t="s">
        <v>106</v>
      </c>
      <c r="H39" t="s">
        <v>125</v>
      </c>
      <c r="I39">
        <v>60</v>
      </c>
      <c r="J39" t="s">
        <v>15</v>
      </c>
      <c r="K39"/>
      <c r="L39" t="s">
        <v>71</v>
      </c>
    </row>
    <row r="40" spans="1:12" x14ac:dyDescent="0.25">
      <c r="A40" s="2">
        <v>46106</v>
      </c>
      <c r="B40" t="s">
        <v>48</v>
      </c>
      <c r="C40" t="s">
        <v>29</v>
      </c>
      <c r="D40" t="s">
        <v>83</v>
      </c>
      <c r="E40" s="10" t="str">
        <f>_xlfn.XLOOKUP(D40,ConversionTable!A$2:A$5, ConversionTable!B$2:B$5, "")</f>
        <v>C101</v>
      </c>
      <c r="F40" t="s">
        <v>12</v>
      </c>
      <c r="G40" t="s">
        <v>52</v>
      </c>
      <c r="H40" t="s">
        <v>53</v>
      </c>
      <c r="I40">
        <v>10</v>
      </c>
      <c r="J40" t="s">
        <v>21</v>
      </c>
      <c r="K40"/>
      <c r="L40" t="s">
        <v>54</v>
      </c>
    </row>
    <row r="41" spans="1:12" x14ac:dyDescent="0.25">
      <c r="A41" s="2">
        <v>46107</v>
      </c>
      <c r="B41" t="s">
        <v>106</v>
      </c>
      <c r="C41" t="s">
        <v>61</v>
      </c>
      <c r="D41" t="s">
        <v>97</v>
      </c>
      <c r="E41" s="10" t="str">
        <f>_xlfn.XLOOKUP(D41,ConversionTable!A$2:A$5, ConversionTable!B$2:B$5, "")</f>
        <v>C104</v>
      </c>
      <c r="F41" t="s">
        <v>87</v>
      </c>
      <c r="G41" t="s">
        <v>106</v>
      </c>
      <c r="H41" t="s">
        <v>108</v>
      </c>
      <c r="I41">
        <v>90</v>
      </c>
      <c r="J41" t="s">
        <v>21</v>
      </c>
      <c r="K41"/>
      <c r="L41" t="s">
        <v>63</v>
      </c>
    </row>
    <row r="42" spans="1:12" x14ac:dyDescent="0.25">
      <c r="A42" s="2">
        <v>46108</v>
      </c>
      <c r="B42" t="s">
        <v>32</v>
      </c>
      <c r="C42" t="s">
        <v>68</v>
      </c>
      <c r="D42" t="s">
        <v>86</v>
      </c>
      <c r="E42" s="10" t="str">
        <f>_xlfn.XLOOKUP(D42,ConversionTable!A$2:A$5, ConversionTable!B$2:B$5, "")</f>
        <v>C102</v>
      </c>
      <c r="F42" t="s">
        <v>87</v>
      </c>
      <c r="G42" t="s">
        <v>79</v>
      </c>
      <c r="H42" t="s">
        <v>34</v>
      </c>
      <c r="I42">
        <v>75</v>
      </c>
      <c r="J42" t="s">
        <v>21</v>
      </c>
      <c r="K42"/>
      <c r="L42" t="s">
        <v>69</v>
      </c>
    </row>
    <row r="43" spans="1:12" x14ac:dyDescent="0.25">
      <c r="A43" s="2">
        <v>46111</v>
      </c>
      <c r="B43" t="s">
        <v>106</v>
      </c>
      <c r="C43" t="s">
        <v>90</v>
      </c>
      <c r="D43" t="s">
        <v>97</v>
      </c>
      <c r="E43" s="10" t="str">
        <f>_xlfn.XLOOKUP(D43,ConversionTable!A$2:A$5, ConversionTable!B$2:B$5, "")</f>
        <v>C104</v>
      </c>
      <c r="F43" t="s">
        <v>87</v>
      </c>
      <c r="G43" t="s">
        <v>106</v>
      </c>
      <c r="H43" t="s">
        <v>126</v>
      </c>
      <c r="I43">
        <v>60</v>
      </c>
      <c r="J43" t="s">
        <v>21</v>
      </c>
      <c r="K43"/>
      <c r="L43" t="s">
        <v>93</v>
      </c>
    </row>
    <row r="44" spans="1:12" x14ac:dyDescent="0.25">
      <c r="A44" s="2">
        <v>46111</v>
      </c>
      <c r="B44" t="s">
        <v>96</v>
      </c>
      <c r="C44" t="s">
        <v>45</v>
      </c>
      <c r="D44" t="s">
        <v>97</v>
      </c>
      <c r="E44" s="10" t="str">
        <f>_xlfn.XLOOKUP(D44,ConversionTable!A$2:A$5, ConversionTable!B$2:B$5, "")</f>
        <v>C104</v>
      </c>
      <c r="F44" t="s">
        <v>87</v>
      </c>
      <c r="G44" t="s">
        <v>13</v>
      </c>
      <c r="H44" t="s">
        <v>127</v>
      </c>
      <c r="I44">
        <v>75</v>
      </c>
      <c r="J44" t="s">
        <v>15</v>
      </c>
      <c r="K44"/>
      <c r="L44" t="s">
        <v>47</v>
      </c>
    </row>
    <row r="45" spans="1:12" x14ac:dyDescent="0.25">
      <c r="A45" s="2">
        <v>46111</v>
      </c>
      <c r="B45" t="s">
        <v>36</v>
      </c>
      <c r="C45" t="s">
        <v>55</v>
      </c>
      <c r="D45" t="s">
        <v>83</v>
      </c>
      <c r="E45" s="10" t="str">
        <f>_xlfn.XLOOKUP(D45,ConversionTable!A$2:A$5, ConversionTable!B$2:B$5, "")</f>
        <v>C101</v>
      </c>
      <c r="F45" t="s">
        <v>12</v>
      </c>
      <c r="G45" t="s">
        <v>56</v>
      </c>
      <c r="H45" t="s">
        <v>57</v>
      </c>
      <c r="I45">
        <v>105</v>
      </c>
      <c r="J45" t="s">
        <v>21</v>
      </c>
      <c r="K45"/>
      <c r="L45" t="s">
        <v>58</v>
      </c>
    </row>
    <row r="46" spans="1:12" x14ac:dyDescent="0.25">
      <c r="A46" s="2">
        <v>46111</v>
      </c>
      <c r="B46" t="s">
        <v>10</v>
      </c>
      <c r="C46" t="s">
        <v>59</v>
      </c>
      <c r="D46" t="s">
        <v>83</v>
      </c>
      <c r="E46" s="10" t="str">
        <f>_xlfn.XLOOKUP(D46,ConversionTable!A$2:A$5, ConversionTable!B$2:B$5, "")</f>
        <v>C101</v>
      </c>
      <c r="F46" t="s">
        <v>12</v>
      </c>
      <c r="G46" t="s">
        <v>27</v>
      </c>
      <c r="H46" t="s">
        <v>14</v>
      </c>
      <c r="I46">
        <v>60</v>
      </c>
      <c r="J46" t="s">
        <v>21</v>
      </c>
      <c r="K46"/>
      <c r="L46" t="s">
        <v>60</v>
      </c>
    </row>
    <row r="47" spans="1:12" x14ac:dyDescent="0.25">
      <c r="A47" s="2">
        <v>46111</v>
      </c>
      <c r="B47" t="s">
        <v>32</v>
      </c>
      <c r="C47" t="s">
        <v>61</v>
      </c>
      <c r="D47" t="s">
        <v>83</v>
      </c>
      <c r="E47" s="10" t="str">
        <f>_xlfn.XLOOKUP(D47,ConversionTable!A$2:A$5, ConversionTable!B$2:B$5, "")</f>
        <v>C101</v>
      </c>
      <c r="F47" t="s">
        <v>12</v>
      </c>
      <c r="G47" t="s">
        <v>27</v>
      </c>
      <c r="H47" t="s">
        <v>62</v>
      </c>
      <c r="I47">
        <v>25</v>
      </c>
      <c r="J47" t="s">
        <v>15</v>
      </c>
      <c r="K47"/>
      <c r="L47" t="s">
        <v>63</v>
      </c>
    </row>
    <row r="48" spans="1:12" x14ac:dyDescent="0.25">
      <c r="A48" s="2">
        <v>46111</v>
      </c>
      <c r="B48" t="s">
        <v>96</v>
      </c>
      <c r="C48" t="s">
        <v>45</v>
      </c>
      <c r="D48" t="s">
        <v>86</v>
      </c>
      <c r="E48" s="10" t="str">
        <f>_xlfn.XLOOKUP(D48,ConversionTable!A$2:A$5, ConversionTable!B$2:B$5, "")</f>
        <v>C102</v>
      </c>
      <c r="F48" t="s">
        <v>87</v>
      </c>
      <c r="G48" t="s">
        <v>96</v>
      </c>
      <c r="H48" t="s">
        <v>128</v>
      </c>
      <c r="I48">
        <v>60</v>
      </c>
      <c r="J48" t="s">
        <v>21</v>
      </c>
      <c r="K48"/>
      <c r="L48" t="s">
        <v>47</v>
      </c>
    </row>
    <row r="49" spans="1:12" x14ac:dyDescent="0.25">
      <c r="A49" s="2">
        <v>46112</v>
      </c>
      <c r="B49" t="s">
        <v>17</v>
      </c>
      <c r="C49" t="s">
        <v>23</v>
      </c>
      <c r="D49" t="s">
        <v>83</v>
      </c>
      <c r="E49" s="10" t="str">
        <f>_xlfn.XLOOKUP(D49,ConversionTable!A$2:A$5, ConversionTable!B$2:B$5, "")</f>
        <v>C101</v>
      </c>
      <c r="F49" t="s">
        <v>12</v>
      </c>
      <c r="G49" t="s">
        <v>17</v>
      </c>
      <c r="H49" t="s">
        <v>30</v>
      </c>
      <c r="I49">
        <v>240</v>
      </c>
      <c r="J49" t="s">
        <v>21</v>
      </c>
      <c r="K49"/>
      <c r="L49" t="s">
        <v>28</v>
      </c>
    </row>
    <row r="50" spans="1:12" x14ac:dyDescent="0.25">
      <c r="A50" s="2">
        <v>46112</v>
      </c>
      <c r="B50" t="s">
        <v>106</v>
      </c>
      <c r="C50" t="s">
        <v>49</v>
      </c>
      <c r="D50" t="s">
        <v>86</v>
      </c>
      <c r="E50" s="10" t="str">
        <f>_xlfn.XLOOKUP(D50,ConversionTable!A$2:A$5, ConversionTable!B$2:B$5, "")</f>
        <v>C102</v>
      </c>
      <c r="F50" t="s">
        <v>87</v>
      </c>
      <c r="G50" t="s">
        <v>106</v>
      </c>
      <c r="H50" t="s">
        <v>129</v>
      </c>
      <c r="I50">
        <v>30</v>
      </c>
      <c r="J50" t="s">
        <v>21</v>
      </c>
      <c r="K50"/>
      <c r="L50" t="s">
        <v>122</v>
      </c>
    </row>
    <row r="51" spans="1:12" x14ac:dyDescent="0.25">
      <c r="A51" s="2">
        <v>46113</v>
      </c>
      <c r="B51" t="s">
        <v>17</v>
      </c>
      <c r="C51" t="s">
        <v>64</v>
      </c>
      <c r="D51" t="s">
        <v>83</v>
      </c>
      <c r="E51" s="10" t="str">
        <f>_xlfn.XLOOKUP(D51,ConversionTable!A$2:A$5, ConversionTable!B$2:B$5, "")</f>
        <v>C101</v>
      </c>
      <c r="F51" t="s">
        <v>12</v>
      </c>
      <c r="G51" t="s">
        <v>65</v>
      </c>
      <c r="H51" t="s">
        <v>66</v>
      </c>
      <c r="I51">
        <v>15</v>
      </c>
      <c r="J51" t="s">
        <v>15</v>
      </c>
      <c r="K51"/>
      <c r="L51" t="s">
        <v>67</v>
      </c>
    </row>
    <row r="52" spans="1:12" x14ac:dyDescent="0.25">
      <c r="A52" s="2">
        <v>46113</v>
      </c>
      <c r="B52" t="s">
        <v>48</v>
      </c>
      <c r="C52" t="s">
        <v>68</v>
      </c>
      <c r="D52" t="s">
        <v>83</v>
      </c>
      <c r="E52" s="10" t="str">
        <f>_xlfn.XLOOKUP(D52,ConversionTable!A$2:A$5, ConversionTable!B$2:B$5, "")</f>
        <v>C101</v>
      </c>
      <c r="F52" t="s">
        <v>12</v>
      </c>
      <c r="G52" t="s">
        <v>52</v>
      </c>
      <c r="H52" t="s">
        <v>50</v>
      </c>
      <c r="I52">
        <v>90</v>
      </c>
      <c r="J52" t="s">
        <v>15</v>
      </c>
      <c r="K52"/>
      <c r="L52" t="s">
        <v>69</v>
      </c>
    </row>
    <row r="53" spans="1:12" x14ac:dyDescent="0.25">
      <c r="A53" s="2">
        <v>46113</v>
      </c>
      <c r="B53" t="s">
        <v>84</v>
      </c>
      <c r="C53" t="s">
        <v>75</v>
      </c>
      <c r="D53" t="s">
        <v>86</v>
      </c>
      <c r="E53" s="10" t="str">
        <f>_xlfn.XLOOKUP(D53,ConversionTable!A$2:A$5, ConversionTable!B$2:B$5, "")</f>
        <v>C102</v>
      </c>
      <c r="F53" t="s">
        <v>87</v>
      </c>
      <c r="G53" t="s">
        <v>79</v>
      </c>
      <c r="H53" t="s">
        <v>130</v>
      </c>
      <c r="I53">
        <v>20</v>
      </c>
      <c r="J53" t="s">
        <v>15</v>
      </c>
      <c r="K53"/>
      <c r="L53" t="s">
        <v>131</v>
      </c>
    </row>
    <row r="54" spans="1:12" x14ac:dyDescent="0.25">
      <c r="A54" s="2">
        <v>46114</v>
      </c>
      <c r="B54" t="s">
        <v>10</v>
      </c>
      <c r="C54" t="s">
        <v>61</v>
      </c>
      <c r="D54" t="s">
        <v>91</v>
      </c>
      <c r="E54" s="10" t="str">
        <f>_xlfn.XLOOKUP(D54,ConversionTable!A$2:A$5, ConversionTable!B$2:B$5, "")</f>
        <v>C103</v>
      </c>
      <c r="F54" t="s">
        <v>12</v>
      </c>
      <c r="G54" t="s">
        <v>24</v>
      </c>
      <c r="H54" t="s">
        <v>25</v>
      </c>
      <c r="I54">
        <v>90</v>
      </c>
      <c r="J54" t="s">
        <v>21</v>
      </c>
      <c r="K54"/>
      <c r="L54" t="s">
        <v>132</v>
      </c>
    </row>
    <row r="55" spans="1:12" x14ac:dyDescent="0.25">
      <c r="A55" s="2">
        <v>46114</v>
      </c>
      <c r="B55" t="s">
        <v>133</v>
      </c>
      <c r="C55" t="s">
        <v>78</v>
      </c>
      <c r="D55" t="s">
        <v>97</v>
      </c>
      <c r="E55" s="10" t="str">
        <f>_xlfn.XLOOKUP(D55,ConversionTable!A$2:A$5, ConversionTable!B$2:B$5, "")</f>
        <v>C104</v>
      </c>
      <c r="F55" t="s">
        <v>87</v>
      </c>
      <c r="G55" t="s">
        <v>27</v>
      </c>
      <c r="H55" t="s">
        <v>134</v>
      </c>
      <c r="I55">
        <v>25</v>
      </c>
      <c r="J55" t="s">
        <v>21</v>
      </c>
      <c r="K55"/>
      <c r="L55" t="s">
        <v>135</v>
      </c>
    </row>
    <row r="56" spans="1:12" x14ac:dyDescent="0.25">
      <c r="A56" s="2">
        <v>46115</v>
      </c>
      <c r="B56" t="s">
        <v>36</v>
      </c>
      <c r="C56" t="s">
        <v>75</v>
      </c>
      <c r="D56" t="s">
        <v>91</v>
      </c>
      <c r="E56" s="10" t="str">
        <f>_xlfn.XLOOKUP(D56,ConversionTable!A$2:A$5, ConversionTable!B$2:B$5, "")</f>
        <v>C103</v>
      </c>
      <c r="F56" t="s">
        <v>12</v>
      </c>
      <c r="G56" t="s">
        <v>27</v>
      </c>
      <c r="H56" t="s">
        <v>136</v>
      </c>
      <c r="I56">
        <v>45</v>
      </c>
      <c r="J56" t="s">
        <v>21</v>
      </c>
      <c r="K56"/>
      <c r="L56" t="s">
        <v>137</v>
      </c>
    </row>
    <row r="57" spans="1:12" x14ac:dyDescent="0.25">
      <c r="A57" s="2">
        <v>46115</v>
      </c>
      <c r="B57" t="s">
        <v>17</v>
      </c>
      <c r="C57" t="s">
        <v>55</v>
      </c>
      <c r="D57" t="s">
        <v>91</v>
      </c>
      <c r="E57" s="10" t="str">
        <f>_xlfn.XLOOKUP(D57,ConversionTable!A$2:A$5, ConversionTable!B$2:B$5, "")</f>
        <v>C103</v>
      </c>
      <c r="F57" t="s">
        <v>12</v>
      </c>
      <c r="G57" t="s">
        <v>17</v>
      </c>
      <c r="H57" t="s">
        <v>66</v>
      </c>
      <c r="I57">
        <v>75</v>
      </c>
      <c r="J57" t="s">
        <v>21</v>
      </c>
      <c r="K57"/>
      <c r="L57" t="s">
        <v>58</v>
      </c>
    </row>
    <row r="58" spans="1:12" x14ac:dyDescent="0.25">
      <c r="A58" s="2">
        <v>46115</v>
      </c>
      <c r="B58" t="s">
        <v>13</v>
      </c>
      <c r="C58" t="s">
        <v>29</v>
      </c>
      <c r="D58" t="s">
        <v>86</v>
      </c>
      <c r="E58" s="10" t="str">
        <f>_xlfn.XLOOKUP(D58,ConversionTable!A$2:A$5, ConversionTable!B$2:B$5, "")</f>
        <v>C102</v>
      </c>
      <c r="F58" t="s">
        <v>87</v>
      </c>
      <c r="G58" t="s">
        <v>109</v>
      </c>
      <c r="H58" t="s">
        <v>138</v>
      </c>
      <c r="I58">
        <v>120</v>
      </c>
      <c r="J58" t="s">
        <v>15</v>
      </c>
      <c r="K58"/>
      <c r="L58" t="s">
        <v>54</v>
      </c>
    </row>
    <row r="59" spans="1:12" x14ac:dyDescent="0.25">
      <c r="A59" s="2">
        <v>46118</v>
      </c>
      <c r="B59" t="s">
        <v>10</v>
      </c>
      <c r="C59" t="s">
        <v>18</v>
      </c>
      <c r="D59" t="s">
        <v>97</v>
      </c>
      <c r="E59" s="10" t="str">
        <f>_xlfn.XLOOKUP(D59,ConversionTable!A$2:A$5, ConversionTable!B$2:B$5, "")</f>
        <v>C104</v>
      </c>
      <c r="F59" t="s">
        <v>87</v>
      </c>
      <c r="G59" t="s">
        <v>24</v>
      </c>
      <c r="H59" t="s">
        <v>14</v>
      </c>
      <c r="I59">
        <v>50</v>
      </c>
      <c r="J59" t="s">
        <v>21</v>
      </c>
      <c r="K59"/>
      <c r="L59" t="s">
        <v>22</v>
      </c>
    </row>
    <row r="60" spans="1:12" x14ac:dyDescent="0.25">
      <c r="A60" s="2">
        <v>46118</v>
      </c>
      <c r="B60" t="s">
        <v>133</v>
      </c>
      <c r="C60" t="s">
        <v>90</v>
      </c>
      <c r="D60" t="s">
        <v>97</v>
      </c>
      <c r="E60" s="10" t="str">
        <f>_xlfn.XLOOKUP(D60,ConversionTable!A$2:A$5, ConversionTable!B$2:B$5, "")</f>
        <v>C104</v>
      </c>
      <c r="F60" t="s">
        <v>87</v>
      </c>
      <c r="G60" t="s">
        <v>27</v>
      </c>
      <c r="H60" t="s">
        <v>139</v>
      </c>
      <c r="I60">
        <v>180</v>
      </c>
      <c r="J60" t="s">
        <v>21</v>
      </c>
      <c r="K60"/>
      <c r="L60" t="s">
        <v>93</v>
      </c>
    </row>
    <row r="61" spans="1:12" x14ac:dyDescent="0.25">
      <c r="A61" s="2">
        <v>46118</v>
      </c>
      <c r="B61" t="s">
        <v>13</v>
      </c>
      <c r="C61" t="s">
        <v>59</v>
      </c>
      <c r="D61" t="s">
        <v>97</v>
      </c>
      <c r="E61" s="10" t="str">
        <f>_xlfn.XLOOKUP(D61,ConversionTable!A$2:A$5, ConversionTable!B$2:B$5, "")</f>
        <v>C104</v>
      </c>
      <c r="F61" t="s">
        <v>87</v>
      </c>
      <c r="G61" t="s">
        <v>109</v>
      </c>
      <c r="H61" t="s">
        <v>110</v>
      </c>
      <c r="I61">
        <v>120</v>
      </c>
      <c r="J61" t="s">
        <v>15</v>
      </c>
      <c r="K61"/>
      <c r="L61" t="s">
        <v>140</v>
      </c>
    </row>
    <row r="62" spans="1:12" x14ac:dyDescent="0.25">
      <c r="A62" s="2">
        <v>46118</v>
      </c>
      <c r="B62" t="s">
        <v>13</v>
      </c>
      <c r="C62" t="s">
        <v>78</v>
      </c>
      <c r="D62" t="s">
        <v>86</v>
      </c>
      <c r="E62" s="10" t="str">
        <f>_xlfn.XLOOKUP(D62,ConversionTable!A$2:A$5, ConversionTable!B$2:B$5, "")</f>
        <v>C102</v>
      </c>
      <c r="F62" t="s">
        <v>87</v>
      </c>
      <c r="G62" t="s">
        <v>109</v>
      </c>
      <c r="H62" t="s">
        <v>141</v>
      </c>
      <c r="I62">
        <v>35</v>
      </c>
      <c r="J62" t="s">
        <v>15</v>
      </c>
      <c r="K62"/>
      <c r="L62" t="s">
        <v>81</v>
      </c>
    </row>
    <row r="63" spans="1:12" x14ac:dyDescent="0.25">
      <c r="A63" s="2">
        <v>46119</v>
      </c>
      <c r="B63" t="s">
        <v>48</v>
      </c>
      <c r="C63" t="s">
        <v>142</v>
      </c>
      <c r="D63" t="s">
        <v>91</v>
      </c>
      <c r="E63" s="10" t="str">
        <f>_xlfn.XLOOKUP(D63,ConversionTable!A$2:A$5, ConversionTable!B$2:B$5, "")</f>
        <v>C103</v>
      </c>
      <c r="F63" t="s">
        <v>12</v>
      </c>
      <c r="G63" t="s">
        <v>52</v>
      </c>
      <c r="H63" t="s">
        <v>50</v>
      </c>
      <c r="I63">
        <v>40</v>
      </c>
      <c r="J63" t="s">
        <v>21</v>
      </c>
      <c r="K63"/>
      <c r="L63" t="s">
        <v>143</v>
      </c>
    </row>
    <row r="64" spans="1:12" x14ac:dyDescent="0.25">
      <c r="A64" s="2">
        <v>46119</v>
      </c>
      <c r="B64" t="s">
        <v>84</v>
      </c>
      <c r="C64" t="s">
        <v>90</v>
      </c>
      <c r="D64" t="s">
        <v>86</v>
      </c>
      <c r="E64" s="10" t="str">
        <f>_xlfn.XLOOKUP(D64,ConversionTable!A$2:A$5, ConversionTable!B$2:B$5, "")</f>
        <v>C102</v>
      </c>
      <c r="F64" t="s">
        <v>87</v>
      </c>
      <c r="G64" t="s">
        <v>79</v>
      </c>
      <c r="H64" t="s">
        <v>144</v>
      </c>
      <c r="I64">
        <v>75</v>
      </c>
      <c r="J64" t="s">
        <v>15</v>
      </c>
      <c r="K64"/>
      <c r="L64" t="s">
        <v>145</v>
      </c>
    </row>
    <row r="65" spans="1:12" x14ac:dyDescent="0.25">
      <c r="A65" s="2">
        <v>46120</v>
      </c>
      <c r="B65" t="s">
        <v>106</v>
      </c>
      <c r="C65" t="s">
        <v>64</v>
      </c>
      <c r="D65" t="s">
        <v>86</v>
      </c>
      <c r="E65" s="10" t="str">
        <f>_xlfn.XLOOKUP(D65,ConversionTable!A$2:A$5, ConversionTable!B$2:B$5, "")</f>
        <v>C102</v>
      </c>
      <c r="F65" t="s">
        <v>87</v>
      </c>
      <c r="G65" t="s">
        <v>106</v>
      </c>
      <c r="H65" t="s">
        <v>108</v>
      </c>
      <c r="I65">
        <v>35</v>
      </c>
      <c r="J65" t="s">
        <v>21</v>
      </c>
      <c r="K65"/>
      <c r="L65" t="s">
        <v>67</v>
      </c>
    </row>
    <row r="66" spans="1:12" x14ac:dyDescent="0.25">
      <c r="A66" s="2">
        <v>46121</v>
      </c>
      <c r="B66" t="s">
        <v>84</v>
      </c>
      <c r="C66" t="s">
        <v>45</v>
      </c>
      <c r="D66" t="s">
        <v>97</v>
      </c>
      <c r="E66" s="10" t="str">
        <f>_xlfn.XLOOKUP(D66,ConversionTable!A$2:A$5, ConversionTable!B$2:B$5, "")</f>
        <v>C104</v>
      </c>
      <c r="F66" t="s">
        <v>87</v>
      </c>
      <c r="G66" t="s">
        <v>79</v>
      </c>
      <c r="H66" t="s">
        <v>88</v>
      </c>
      <c r="I66">
        <v>105</v>
      </c>
      <c r="J66" t="s">
        <v>21</v>
      </c>
      <c r="K66"/>
      <c r="L66" t="s">
        <v>146</v>
      </c>
    </row>
    <row r="67" spans="1:12" x14ac:dyDescent="0.25">
      <c r="A67" s="2">
        <v>46121</v>
      </c>
      <c r="B67" t="s">
        <v>84</v>
      </c>
      <c r="C67" t="s">
        <v>111</v>
      </c>
      <c r="D67" t="s">
        <v>97</v>
      </c>
      <c r="E67" s="10" t="str">
        <f>_xlfn.XLOOKUP(D67,ConversionTable!A$2:A$5, ConversionTable!B$2:B$5, "")</f>
        <v>C104</v>
      </c>
      <c r="F67" t="s">
        <v>87</v>
      </c>
      <c r="G67" t="s">
        <v>79</v>
      </c>
      <c r="H67" t="s">
        <v>88</v>
      </c>
      <c r="I67">
        <v>35</v>
      </c>
      <c r="J67" t="s">
        <v>15</v>
      </c>
      <c r="K67"/>
      <c r="L67" t="s">
        <v>147</v>
      </c>
    </row>
    <row r="68" spans="1:12" x14ac:dyDescent="0.25">
      <c r="A68" s="2">
        <v>46121</v>
      </c>
      <c r="B68" t="s">
        <v>48</v>
      </c>
      <c r="C68" t="s">
        <v>68</v>
      </c>
      <c r="D68" t="s">
        <v>83</v>
      </c>
      <c r="E68" s="10" t="str">
        <f>_xlfn.XLOOKUP(D68,ConversionTable!A$2:A$5, ConversionTable!B$2:B$5, "")</f>
        <v>C101</v>
      </c>
      <c r="F68" t="s">
        <v>12</v>
      </c>
      <c r="G68" t="s">
        <v>17</v>
      </c>
      <c r="H68" t="s">
        <v>70</v>
      </c>
      <c r="I68">
        <v>15</v>
      </c>
      <c r="J68" t="s">
        <v>21</v>
      </c>
      <c r="K68"/>
      <c r="L68" t="s">
        <v>71</v>
      </c>
    </row>
    <row r="69" spans="1:12" x14ac:dyDescent="0.25">
      <c r="A69" s="2">
        <v>46121</v>
      </c>
      <c r="B69" t="s">
        <v>17</v>
      </c>
      <c r="C69" t="s">
        <v>23</v>
      </c>
      <c r="D69" t="s">
        <v>83</v>
      </c>
      <c r="E69" s="10" t="str">
        <f>_xlfn.XLOOKUP(D69,ConversionTable!A$2:A$5, ConversionTable!B$2:B$5, "")</f>
        <v>C101</v>
      </c>
      <c r="F69" t="s">
        <v>12</v>
      </c>
      <c r="G69" t="s">
        <v>65</v>
      </c>
      <c r="H69" t="s">
        <v>72</v>
      </c>
      <c r="I69">
        <v>60</v>
      </c>
      <c r="J69" t="s">
        <v>21</v>
      </c>
      <c r="K69"/>
      <c r="L69" t="s">
        <v>26</v>
      </c>
    </row>
    <row r="70" spans="1:12" x14ac:dyDescent="0.25">
      <c r="A70" s="2">
        <v>46121</v>
      </c>
      <c r="B70" t="s">
        <v>84</v>
      </c>
      <c r="C70" t="s">
        <v>18</v>
      </c>
      <c r="D70" t="s">
        <v>86</v>
      </c>
      <c r="E70" s="10" t="str">
        <f>_xlfn.XLOOKUP(D70,ConversionTable!A$2:A$5, ConversionTable!B$2:B$5, "")</f>
        <v>C102</v>
      </c>
      <c r="F70" t="s">
        <v>87</v>
      </c>
      <c r="G70" t="s">
        <v>79</v>
      </c>
      <c r="H70" t="s">
        <v>144</v>
      </c>
      <c r="I70">
        <v>45</v>
      </c>
      <c r="J70" t="s">
        <v>21</v>
      </c>
      <c r="K70"/>
      <c r="L70" t="s">
        <v>113</v>
      </c>
    </row>
    <row r="71" spans="1:12" x14ac:dyDescent="0.25">
      <c r="A71" s="2">
        <v>46121</v>
      </c>
      <c r="B71" t="s">
        <v>84</v>
      </c>
      <c r="C71" t="s">
        <v>78</v>
      </c>
      <c r="D71" t="s">
        <v>86</v>
      </c>
      <c r="E71" s="10" t="str">
        <f>_xlfn.XLOOKUP(D71,ConversionTable!A$2:A$5, ConversionTable!B$2:B$5, "")</f>
        <v>C102</v>
      </c>
      <c r="F71" t="s">
        <v>87</v>
      </c>
      <c r="G71" t="s">
        <v>27</v>
      </c>
      <c r="H71" t="s">
        <v>88</v>
      </c>
      <c r="I71">
        <v>150</v>
      </c>
      <c r="J71" t="s">
        <v>15</v>
      </c>
      <c r="K71"/>
      <c r="L71" t="s">
        <v>135</v>
      </c>
    </row>
    <row r="72" spans="1:12" x14ac:dyDescent="0.25">
      <c r="A72" s="2">
        <v>46122</v>
      </c>
      <c r="B72" t="s">
        <v>36</v>
      </c>
      <c r="C72" t="s">
        <v>59</v>
      </c>
      <c r="D72" t="s">
        <v>91</v>
      </c>
      <c r="E72" s="10" t="str">
        <f>_xlfn.XLOOKUP(D72,ConversionTable!A$2:A$5, ConversionTable!B$2:B$5, "")</f>
        <v>C103</v>
      </c>
      <c r="F72" t="s">
        <v>12</v>
      </c>
      <c r="G72" t="s">
        <v>56</v>
      </c>
      <c r="H72" t="s">
        <v>38</v>
      </c>
      <c r="I72">
        <v>60</v>
      </c>
      <c r="J72" t="s">
        <v>21</v>
      </c>
      <c r="K72"/>
      <c r="L72" t="s">
        <v>140</v>
      </c>
    </row>
    <row r="73" spans="1:12" x14ac:dyDescent="0.25">
      <c r="A73" s="2">
        <v>46122</v>
      </c>
      <c r="B73" t="s">
        <v>48</v>
      </c>
      <c r="C73" t="s">
        <v>99</v>
      </c>
      <c r="D73" t="s">
        <v>91</v>
      </c>
      <c r="E73" s="10" t="str">
        <f>_xlfn.XLOOKUP(D73,ConversionTable!A$2:A$5, ConversionTable!B$2:B$5, "")</f>
        <v>C103</v>
      </c>
      <c r="F73" t="s">
        <v>12</v>
      </c>
      <c r="G73" t="s">
        <v>17</v>
      </c>
      <c r="H73" t="s">
        <v>50</v>
      </c>
      <c r="I73">
        <v>30</v>
      </c>
      <c r="J73" t="s">
        <v>21</v>
      </c>
      <c r="K73"/>
      <c r="L73" t="s">
        <v>100</v>
      </c>
    </row>
    <row r="74" spans="1:12" x14ac:dyDescent="0.25">
      <c r="A74" s="2">
        <v>46122</v>
      </c>
      <c r="B74" t="s">
        <v>48</v>
      </c>
      <c r="C74" t="s">
        <v>61</v>
      </c>
      <c r="D74" t="s">
        <v>91</v>
      </c>
      <c r="E74" s="10" t="str">
        <f>_xlfn.XLOOKUP(D74,ConversionTable!A$2:A$5, ConversionTable!B$2:B$5, "")</f>
        <v>C103</v>
      </c>
      <c r="F74" t="s">
        <v>12</v>
      </c>
      <c r="G74" t="s">
        <v>17</v>
      </c>
      <c r="H74" t="s">
        <v>50</v>
      </c>
      <c r="I74">
        <v>120</v>
      </c>
      <c r="J74" t="s">
        <v>21</v>
      </c>
      <c r="K74"/>
      <c r="L74" t="s">
        <v>95</v>
      </c>
    </row>
    <row r="75" spans="1:12" x14ac:dyDescent="0.25">
      <c r="A75" s="2">
        <v>46122</v>
      </c>
      <c r="B75" t="s">
        <v>13</v>
      </c>
      <c r="C75" t="s">
        <v>59</v>
      </c>
      <c r="D75" t="s">
        <v>97</v>
      </c>
      <c r="E75" s="10" t="str">
        <f>_xlfn.XLOOKUP(D75,ConversionTable!A$2:A$5, ConversionTable!B$2:B$5, "")</f>
        <v>C104</v>
      </c>
      <c r="F75" t="s">
        <v>87</v>
      </c>
      <c r="G75" t="s">
        <v>109</v>
      </c>
      <c r="H75" t="s">
        <v>110</v>
      </c>
      <c r="I75">
        <v>30</v>
      </c>
      <c r="J75" t="s">
        <v>21</v>
      </c>
      <c r="K75"/>
      <c r="L75" t="s">
        <v>140</v>
      </c>
    </row>
    <row r="76" spans="1:12" x14ac:dyDescent="0.25">
      <c r="A76" s="2">
        <v>46125</v>
      </c>
      <c r="B76" t="s">
        <v>106</v>
      </c>
      <c r="C76" t="s">
        <v>78</v>
      </c>
      <c r="D76" t="s">
        <v>97</v>
      </c>
      <c r="E76" s="10" t="str">
        <f>_xlfn.XLOOKUP(D76,ConversionTable!A$2:A$5, ConversionTable!B$2:B$5, "")</f>
        <v>C104</v>
      </c>
      <c r="F76" t="s">
        <v>87</v>
      </c>
      <c r="G76" t="s">
        <v>107</v>
      </c>
      <c r="H76" t="s">
        <v>126</v>
      </c>
      <c r="I76">
        <v>45</v>
      </c>
      <c r="J76" t="s">
        <v>21</v>
      </c>
      <c r="K76"/>
      <c r="L76" t="s">
        <v>135</v>
      </c>
    </row>
    <row r="77" spans="1:12" x14ac:dyDescent="0.25">
      <c r="A77" s="2">
        <v>46125</v>
      </c>
      <c r="B77" t="s">
        <v>13</v>
      </c>
      <c r="C77" t="s">
        <v>142</v>
      </c>
      <c r="D77" t="s">
        <v>86</v>
      </c>
      <c r="E77" s="10" t="str">
        <f>_xlfn.XLOOKUP(D77,ConversionTable!A$2:A$5, ConversionTable!B$2:B$5, "")</f>
        <v>C102</v>
      </c>
      <c r="F77" t="s">
        <v>87</v>
      </c>
      <c r="G77" t="s">
        <v>13</v>
      </c>
      <c r="H77" t="s">
        <v>148</v>
      </c>
      <c r="I77">
        <v>210</v>
      </c>
      <c r="J77" t="s">
        <v>21</v>
      </c>
      <c r="K77"/>
      <c r="L77" t="s">
        <v>149</v>
      </c>
    </row>
    <row r="78" spans="1:12" x14ac:dyDescent="0.25">
      <c r="A78" s="2">
        <v>46125</v>
      </c>
      <c r="B78" t="s">
        <v>48</v>
      </c>
      <c r="C78" t="s">
        <v>61</v>
      </c>
      <c r="D78" t="s">
        <v>86</v>
      </c>
      <c r="E78" s="10" t="str">
        <f>_xlfn.XLOOKUP(D78,ConversionTable!A$2:A$5, ConversionTable!B$2:B$5, "")</f>
        <v>C102</v>
      </c>
      <c r="F78" t="s">
        <v>87</v>
      </c>
      <c r="G78" t="s">
        <v>52</v>
      </c>
      <c r="H78" t="s">
        <v>116</v>
      </c>
      <c r="I78">
        <v>120</v>
      </c>
      <c r="J78" t="s">
        <v>21</v>
      </c>
      <c r="K78"/>
      <c r="L78" t="s">
        <v>132</v>
      </c>
    </row>
    <row r="79" spans="1:12" x14ac:dyDescent="0.25">
      <c r="A79" s="2">
        <v>46126</v>
      </c>
      <c r="B79" t="s">
        <v>10</v>
      </c>
      <c r="C79" t="s">
        <v>90</v>
      </c>
      <c r="D79" t="s">
        <v>91</v>
      </c>
      <c r="E79" s="10" t="str">
        <f>_xlfn.XLOOKUP(D79,ConversionTable!A$2:A$5, ConversionTable!B$2:B$5, "")</f>
        <v>C103</v>
      </c>
      <c r="F79" t="s">
        <v>12</v>
      </c>
      <c r="G79" t="s">
        <v>13</v>
      </c>
      <c r="H79" t="s">
        <v>150</v>
      </c>
      <c r="I79">
        <v>180</v>
      </c>
      <c r="J79" t="s">
        <v>21</v>
      </c>
      <c r="K79"/>
      <c r="L79" t="s">
        <v>93</v>
      </c>
    </row>
    <row r="80" spans="1:12" x14ac:dyDescent="0.25">
      <c r="A80" s="2">
        <v>46126</v>
      </c>
      <c r="B80" t="s">
        <v>36</v>
      </c>
      <c r="C80" t="s">
        <v>29</v>
      </c>
      <c r="D80" t="s">
        <v>91</v>
      </c>
      <c r="E80" s="10" t="str">
        <f>_xlfn.XLOOKUP(D80,ConversionTable!A$2:A$5, ConversionTable!B$2:B$5, "")</f>
        <v>C103</v>
      </c>
      <c r="F80" t="s">
        <v>12</v>
      </c>
      <c r="G80" t="s">
        <v>56</v>
      </c>
      <c r="H80" t="s">
        <v>73</v>
      </c>
      <c r="I80">
        <v>120</v>
      </c>
      <c r="J80" t="s">
        <v>21</v>
      </c>
      <c r="K80"/>
      <c r="L80" t="s">
        <v>54</v>
      </c>
    </row>
    <row r="81" spans="1:12" x14ac:dyDescent="0.25">
      <c r="A81" s="2">
        <v>46127</v>
      </c>
      <c r="B81" t="s">
        <v>36</v>
      </c>
      <c r="C81" t="s">
        <v>18</v>
      </c>
      <c r="D81" t="s">
        <v>83</v>
      </c>
      <c r="E81" s="10" t="str">
        <f>_xlfn.XLOOKUP(D81,ConversionTable!A$2:A$5, ConversionTable!B$2:B$5, "")</f>
        <v>C101</v>
      </c>
      <c r="F81" t="s">
        <v>12</v>
      </c>
      <c r="G81" t="s">
        <v>36</v>
      </c>
      <c r="H81" t="s">
        <v>73</v>
      </c>
      <c r="I81">
        <v>15</v>
      </c>
      <c r="J81" t="s">
        <v>21</v>
      </c>
      <c r="K81"/>
      <c r="L81" t="s">
        <v>74</v>
      </c>
    </row>
    <row r="82" spans="1:12" x14ac:dyDescent="0.25">
      <c r="A82" s="2">
        <v>46128</v>
      </c>
      <c r="B82" t="s">
        <v>17</v>
      </c>
      <c r="C82" t="s">
        <v>75</v>
      </c>
      <c r="D82" t="s">
        <v>83</v>
      </c>
      <c r="E82" s="10" t="str">
        <f>_xlfn.XLOOKUP(D82,ConversionTable!A$2:A$5, ConversionTable!B$2:B$5, "")</f>
        <v>C101</v>
      </c>
      <c r="F82" t="s">
        <v>12</v>
      </c>
      <c r="G82" t="s">
        <v>17</v>
      </c>
      <c r="H82" t="s">
        <v>20</v>
      </c>
      <c r="I82">
        <v>30</v>
      </c>
      <c r="J82" t="s">
        <v>21</v>
      </c>
      <c r="K82"/>
      <c r="L82" t="s">
        <v>76</v>
      </c>
    </row>
    <row r="83" spans="1:12" x14ac:dyDescent="0.25">
      <c r="A83" s="2">
        <v>46128</v>
      </c>
      <c r="B83" t="s">
        <v>133</v>
      </c>
      <c r="C83" t="s">
        <v>111</v>
      </c>
      <c r="D83" t="s">
        <v>86</v>
      </c>
      <c r="E83" s="10" t="str">
        <f>_xlfn.XLOOKUP(D83,ConversionTable!A$2:A$5, ConversionTable!B$2:B$5, "")</f>
        <v>C102</v>
      </c>
      <c r="F83" t="s">
        <v>87</v>
      </c>
      <c r="G83" t="s">
        <v>27</v>
      </c>
      <c r="H83" t="s">
        <v>151</v>
      </c>
      <c r="I83">
        <v>35</v>
      </c>
      <c r="J83" t="s">
        <v>21</v>
      </c>
      <c r="K83"/>
      <c r="L83" t="s">
        <v>112</v>
      </c>
    </row>
    <row r="84" spans="1:12" x14ac:dyDescent="0.25">
      <c r="A84" s="2">
        <v>46129</v>
      </c>
      <c r="B84" t="s">
        <v>96</v>
      </c>
      <c r="C84" t="s">
        <v>75</v>
      </c>
      <c r="D84" t="s">
        <v>97</v>
      </c>
      <c r="E84" s="10" t="str">
        <f>_xlfn.XLOOKUP(D84,ConversionTable!A$2:A$5, ConversionTable!B$2:B$5, "")</f>
        <v>C104</v>
      </c>
      <c r="F84" t="s">
        <v>87</v>
      </c>
      <c r="G84" t="s">
        <v>13</v>
      </c>
      <c r="H84" t="s">
        <v>128</v>
      </c>
      <c r="I84">
        <v>180</v>
      </c>
      <c r="J84" t="s">
        <v>15</v>
      </c>
      <c r="K84"/>
      <c r="L84" t="s">
        <v>131</v>
      </c>
    </row>
    <row r="85" spans="1:12" x14ac:dyDescent="0.25">
      <c r="A85" s="2">
        <v>46132</v>
      </c>
      <c r="B85" t="s">
        <v>17</v>
      </c>
      <c r="C85" t="s">
        <v>90</v>
      </c>
      <c r="D85" t="s">
        <v>91</v>
      </c>
      <c r="E85" s="10" t="str">
        <f>_xlfn.XLOOKUP(D85,ConversionTable!A$2:A$5, ConversionTable!B$2:B$5, "")</f>
        <v>C103</v>
      </c>
      <c r="F85" t="s">
        <v>12</v>
      </c>
      <c r="G85" t="s">
        <v>19</v>
      </c>
      <c r="H85" t="s">
        <v>40</v>
      </c>
      <c r="I85">
        <v>90</v>
      </c>
      <c r="J85" t="s">
        <v>21</v>
      </c>
      <c r="K85"/>
      <c r="L85" t="s">
        <v>145</v>
      </c>
    </row>
    <row r="86" spans="1:12" x14ac:dyDescent="0.25">
      <c r="A86" s="2">
        <v>46132</v>
      </c>
      <c r="B86" t="s">
        <v>48</v>
      </c>
      <c r="C86" t="s">
        <v>99</v>
      </c>
      <c r="D86" t="s">
        <v>97</v>
      </c>
      <c r="E86" s="10" t="str">
        <f>_xlfn.XLOOKUP(D86,ConversionTable!A$2:A$5, ConversionTable!B$2:B$5, "")</f>
        <v>C104</v>
      </c>
      <c r="F86" t="s">
        <v>87</v>
      </c>
      <c r="G86" t="s">
        <v>52</v>
      </c>
      <c r="H86" t="s">
        <v>116</v>
      </c>
      <c r="I86">
        <v>35</v>
      </c>
      <c r="J86" t="s">
        <v>15</v>
      </c>
      <c r="K86"/>
      <c r="L86" t="s">
        <v>100</v>
      </c>
    </row>
    <row r="87" spans="1:12" x14ac:dyDescent="0.25">
      <c r="A87" s="2">
        <v>46132</v>
      </c>
      <c r="B87" t="s">
        <v>10</v>
      </c>
      <c r="C87" t="s">
        <v>18</v>
      </c>
      <c r="D87" t="s">
        <v>83</v>
      </c>
      <c r="E87" s="10" t="str">
        <f>_xlfn.XLOOKUP(D87,ConversionTable!A$2:A$5, ConversionTable!B$2:B$5, "")</f>
        <v>C101</v>
      </c>
      <c r="F87" t="s">
        <v>12</v>
      </c>
      <c r="G87" t="s">
        <v>24</v>
      </c>
      <c r="H87" t="s">
        <v>77</v>
      </c>
      <c r="I87">
        <v>210</v>
      </c>
      <c r="J87" t="s">
        <v>15</v>
      </c>
      <c r="K87"/>
      <c r="L87" t="s">
        <v>74</v>
      </c>
    </row>
    <row r="88" spans="1:12" x14ac:dyDescent="0.25">
      <c r="A88" s="2">
        <v>46133</v>
      </c>
      <c r="B88" t="s">
        <v>32</v>
      </c>
      <c r="C88" t="s">
        <v>45</v>
      </c>
      <c r="D88" t="s">
        <v>91</v>
      </c>
      <c r="E88" s="10" t="str">
        <f>_xlfn.XLOOKUP(D88,ConversionTable!A$2:A$5, ConversionTable!B$2:B$5, "")</f>
        <v>C103</v>
      </c>
      <c r="F88" t="s">
        <v>12</v>
      </c>
      <c r="G88" t="s">
        <v>32</v>
      </c>
      <c r="H88" t="s">
        <v>34</v>
      </c>
      <c r="I88">
        <v>45</v>
      </c>
      <c r="J88" t="s">
        <v>21</v>
      </c>
      <c r="K88"/>
      <c r="L88" t="s">
        <v>146</v>
      </c>
    </row>
    <row r="89" spans="1:12" x14ac:dyDescent="0.25">
      <c r="A89" s="2">
        <v>46133</v>
      </c>
      <c r="B89" t="s">
        <v>36</v>
      </c>
      <c r="C89" t="s">
        <v>115</v>
      </c>
      <c r="D89" t="s">
        <v>91</v>
      </c>
      <c r="E89" s="10" t="str">
        <f>_xlfn.XLOOKUP(D89,ConversionTable!A$2:A$5, ConversionTable!B$2:B$5, "")</f>
        <v>C103</v>
      </c>
      <c r="F89" t="s">
        <v>12</v>
      </c>
      <c r="G89" t="s">
        <v>56</v>
      </c>
      <c r="H89" t="s">
        <v>152</v>
      </c>
      <c r="I89">
        <v>120</v>
      </c>
      <c r="J89" t="s">
        <v>21</v>
      </c>
      <c r="K89"/>
      <c r="L89" t="s">
        <v>117</v>
      </c>
    </row>
    <row r="90" spans="1:12" x14ac:dyDescent="0.25">
      <c r="A90" s="2">
        <v>46134</v>
      </c>
      <c r="B90" t="s">
        <v>36</v>
      </c>
      <c r="C90" t="s">
        <v>115</v>
      </c>
      <c r="D90" t="s">
        <v>91</v>
      </c>
      <c r="E90" s="10" t="str">
        <f>_xlfn.XLOOKUP(D90,ConversionTable!A$2:A$5, ConversionTable!B$2:B$5, "")</f>
        <v>C103</v>
      </c>
      <c r="F90" t="s">
        <v>12</v>
      </c>
      <c r="G90" t="s">
        <v>27</v>
      </c>
      <c r="H90" t="s">
        <v>73</v>
      </c>
      <c r="I90">
        <v>60</v>
      </c>
      <c r="J90" t="s">
        <v>21</v>
      </c>
      <c r="K90"/>
      <c r="L90" t="s">
        <v>117</v>
      </c>
    </row>
    <row r="91" spans="1:12" x14ac:dyDescent="0.25">
      <c r="A91" s="2">
        <v>46134</v>
      </c>
      <c r="B91" t="s">
        <v>17</v>
      </c>
      <c r="C91" t="s">
        <v>45</v>
      </c>
      <c r="D91" t="s">
        <v>91</v>
      </c>
      <c r="E91" s="10" t="str">
        <f>_xlfn.XLOOKUP(D91,ConversionTable!A$2:A$5, ConversionTable!B$2:B$5, "")</f>
        <v>C103</v>
      </c>
      <c r="F91" t="s">
        <v>12</v>
      </c>
      <c r="G91" t="s">
        <v>17</v>
      </c>
      <c r="H91" t="s">
        <v>66</v>
      </c>
      <c r="I91">
        <v>40</v>
      </c>
      <c r="J91" t="s">
        <v>21</v>
      </c>
      <c r="K91"/>
      <c r="L91" t="s">
        <v>146</v>
      </c>
    </row>
    <row r="92" spans="1:12" x14ac:dyDescent="0.25">
      <c r="A92" s="2">
        <v>46134</v>
      </c>
      <c r="B92" t="s">
        <v>32</v>
      </c>
      <c r="C92" t="s">
        <v>64</v>
      </c>
      <c r="D92" t="s">
        <v>97</v>
      </c>
      <c r="E92" s="10" t="str">
        <f>_xlfn.XLOOKUP(D92,ConversionTable!A$2:A$5, ConversionTable!B$2:B$5, "")</f>
        <v>C104</v>
      </c>
      <c r="F92" t="s">
        <v>87</v>
      </c>
      <c r="G92" t="s">
        <v>27</v>
      </c>
      <c r="H92" t="s">
        <v>80</v>
      </c>
      <c r="I92">
        <v>45</v>
      </c>
      <c r="J92" t="s">
        <v>21</v>
      </c>
      <c r="K92"/>
      <c r="L92" t="s">
        <v>67</v>
      </c>
    </row>
    <row r="93" spans="1:12" x14ac:dyDescent="0.25">
      <c r="A93" s="2">
        <v>46134</v>
      </c>
      <c r="B93" t="s">
        <v>32</v>
      </c>
      <c r="C93" t="s">
        <v>119</v>
      </c>
      <c r="D93" t="s">
        <v>97</v>
      </c>
      <c r="E93" s="10" t="str">
        <f>_xlfn.XLOOKUP(D93,ConversionTable!A$2:A$5, ConversionTable!B$2:B$5, "")</f>
        <v>C104</v>
      </c>
      <c r="F93" t="s">
        <v>87</v>
      </c>
      <c r="G93" t="s">
        <v>27</v>
      </c>
      <c r="H93" t="s">
        <v>80</v>
      </c>
      <c r="I93">
        <v>210</v>
      </c>
      <c r="J93" t="s">
        <v>21</v>
      </c>
      <c r="K93"/>
      <c r="L93" t="s">
        <v>120</v>
      </c>
    </row>
    <row r="94" spans="1:12" x14ac:dyDescent="0.25">
      <c r="A94" s="2">
        <v>46134</v>
      </c>
      <c r="B94" t="s">
        <v>104</v>
      </c>
      <c r="C94" t="s">
        <v>45</v>
      </c>
      <c r="D94" t="s">
        <v>97</v>
      </c>
      <c r="E94" s="10" t="str">
        <f>_xlfn.XLOOKUP(D94,ConversionTable!A$2:A$5, ConversionTable!B$2:B$5, "")</f>
        <v>C104</v>
      </c>
      <c r="F94" t="s">
        <v>87</v>
      </c>
      <c r="G94" t="s">
        <v>27</v>
      </c>
      <c r="H94" t="s">
        <v>153</v>
      </c>
      <c r="I94">
        <v>45</v>
      </c>
      <c r="J94" t="s">
        <v>15</v>
      </c>
      <c r="K94"/>
      <c r="L94" t="s">
        <v>47</v>
      </c>
    </row>
    <row r="95" spans="1:12" x14ac:dyDescent="0.25">
      <c r="A95" s="2">
        <v>46134</v>
      </c>
      <c r="B95" t="s">
        <v>32</v>
      </c>
      <c r="C95" t="s">
        <v>78</v>
      </c>
      <c r="D95" t="s">
        <v>83</v>
      </c>
      <c r="E95" s="10" t="str">
        <f>_xlfn.XLOOKUP(D95,ConversionTable!A$2:A$5, ConversionTable!B$2:B$5, "")</f>
        <v>C101</v>
      </c>
      <c r="F95" t="s">
        <v>12</v>
      </c>
      <c r="G95" t="s">
        <v>79</v>
      </c>
      <c r="H95" t="s">
        <v>80</v>
      </c>
      <c r="I95">
        <v>50</v>
      </c>
      <c r="J95" t="s">
        <v>21</v>
      </c>
      <c r="K95"/>
      <c r="L95" t="s">
        <v>81</v>
      </c>
    </row>
    <row r="96" spans="1:12" x14ac:dyDescent="0.25">
      <c r="A96" s="2">
        <v>46134</v>
      </c>
      <c r="B96" t="s">
        <v>10</v>
      </c>
      <c r="C96" t="s">
        <v>55</v>
      </c>
      <c r="D96" t="s">
        <v>83</v>
      </c>
      <c r="E96" s="10" t="str">
        <f>_xlfn.XLOOKUP(D96,ConversionTable!A$2:A$5, ConversionTable!B$2:B$5, "")</f>
        <v>C101</v>
      </c>
      <c r="F96" t="s">
        <v>12</v>
      </c>
      <c r="G96" t="s">
        <v>27</v>
      </c>
      <c r="H96" t="s">
        <v>25</v>
      </c>
      <c r="I96">
        <v>45</v>
      </c>
      <c r="J96" t="s">
        <v>15</v>
      </c>
      <c r="K96"/>
      <c r="L96" t="s">
        <v>58</v>
      </c>
    </row>
    <row r="97" spans="1:12" x14ac:dyDescent="0.25">
      <c r="A97" s="2">
        <v>46134</v>
      </c>
      <c r="B97" t="s">
        <v>10</v>
      </c>
      <c r="C97" t="s">
        <v>99</v>
      </c>
      <c r="D97" t="s">
        <v>86</v>
      </c>
      <c r="E97" s="10" t="str">
        <f>_xlfn.XLOOKUP(D97,ConversionTable!A$2:A$5, ConversionTable!B$2:B$5, "")</f>
        <v>C102</v>
      </c>
      <c r="F97" t="s">
        <v>87</v>
      </c>
      <c r="G97" t="s">
        <v>27</v>
      </c>
      <c r="H97" t="s">
        <v>150</v>
      </c>
      <c r="I97">
        <v>40</v>
      </c>
      <c r="J97" t="s">
        <v>21</v>
      </c>
      <c r="K97"/>
      <c r="L97" t="s">
        <v>100</v>
      </c>
    </row>
    <row r="98" spans="1:12" x14ac:dyDescent="0.25">
      <c r="A98" s="2">
        <v>46135</v>
      </c>
      <c r="B98" t="s">
        <v>10</v>
      </c>
      <c r="C98" t="s">
        <v>111</v>
      </c>
      <c r="D98" t="s">
        <v>91</v>
      </c>
      <c r="E98" s="10" t="str">
        <f>_xlfn.XLOOKUP(D98,ConversionTable!A$2:A$5, ConversionTable!B$2:B$5, "")</f>
        <v>C103</v>
      </c>
      <c r="F98" t="s">
        <v>12</v>
      </c>
      <c r="G98" t="s">
        <v>27</v>
      </c>
      <c r="H98" t="s">
        <v>150</v>
      </c>
      <c r="I98">
        <v>105</v>
      </c>
      <c r="J98" t="s">
        <v>21</v>
      </c>
      <c r="K98"/>
      <c r="L98" t="s">
        <v>112</v>
      </c>
    </row>
    <row r="99" spans="1:12" x14ac:dyDescent="0.25">
      <c r="A99" s="2">
        <v>46135</v>
      </c>
      <c r="B99" t="s">
        <v>106</v>
      </c>
      <c r="C99" t="s">
        <v>33</v>
      </c>
      <c r="D99" t="s">
        <v>97</v>
      </c>
      <c r="E99" s="10" t="str">
        <f>_xlfn.XLOOKUP(D99,ConversionTable!A$2:A$5, ConversionTable!B$2:B$5, "")</f>
        <v>C104</v>
      </c>
      <c r="F99" t="s">
        <v>87</v>
      </c>
      <c r="G99" t="s">
        <v>106</v>
      </c>
      <c r="H99" t="s">
        <v>129</v>
      </c>
      <c r="I99">
        <v>105</v>
      </c>
      <c r="J99" t="s">
        <v>21</v>
      </c>
      <c r="K99"/>
      <c r="L99" t="s">
        <v>35</v>
      </c>
    </row>
    <row r="100" spans="1:12" x14ac:dyDescent="0.25">
      <c r="A100" s="2">
        <v>46136</v>
      </c>
      <c r="B100" t="s">
        <v>17</v>
      </c>
      <c r="C100" t="s">
        <v>49</v>
      </c>
      <c r="D100" t="s">
        <v>91</v>
      </c>
      <c r="E100" s="10" t="str">
        <f>_xlfn.XLOOKUP(D100,ConversionTable!A$2:A$5, ConversionTable!B$2:B$5, "")</f>
        <v>C103</v>
      </c>
      <c r="F100" t="s">
        <v>12</v>
      </c>
      <c r="G100" t="s">
        <v>19</v>
      </c>
      <c r="H100" t="s">
        <v>40</v>
      </c>
      <c r="I100">
        <v>90</v>
      </c>
      <c r="J100" t="s">
        <v>21</v>
      </c>
      <c r="K100"/>
      <c r="L100" t="s">
        <v>51</v>
      </c>
    </row>
    <row r="101" spans="1:12" x14ac:dyDescent="0.25">
      <c r="A101" s="2">
        <v>46136</v>
      </c>
      <c r="B101" t="s">
        <v>96</v>
      </c>
      <c r="C101" t="s">
        <v>29</v>
      </c>
      <c r="D101" t="s">
        <v>86</v>
      </c>
      <c r="E101" s="10" t="str">
        <f>_xlfn.XLOOKUP(D101,ConversionTable!A$2:A$5, ConversionTable!B$2:B$5, "")</f>
        <v>C102</v>
      </c>
      <c r="F101" t="s">
        <v>87</v>
      </c>
      <c r="G101" t="s">
        <v>13</v>
      </c>
      <c r="H101" t="s">
        <v>128</v>
      </c>
      <c r="I101">
        <v>150</v>
      </c>
      <c r="J101" t="s">
        <v>15</v>
      </c>
      <c r="K101"/>
      <c r="L101" t="s">
        <v>154</v>
      </c>
    </row>
  </sheetData>
  <autoFilter ref="A1:L101" xr:uid="{00000000-0009-0000-00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7"/>
  <sheetViews>
    <sheetView workbookViewId="0">
      <pane ySplit="1" topLeftCell="A2" activePane="bottomLeft" state="frozen"/>
      <selection pane="bottomLeft" activeCell="A3" sqref="A3:J99"/>
    </sheetView>
  </sheetViews>
  <sheetFormatPr defaultRowHeight="15" x14ac:dyDescent="0.25"/>
  <cols>
    <col min="1" max="1" width="15" style="2" customWidth="1"/>
    <col min="2" max="2" width="46.85546875" style="4" customWidth="1"/>
    <col min="3" max="3" width="49.5703125" style="4" customWidth="1"/>
    <col min="4" max="4" width="15" style="4" customWidth="1"/>
    <col min="5" max="5" width="20.28515625" style="4" customWidth="1"/>
    <col min="6" max="6" width="87.42578125" style="4" customWidth="1"/>
    <col min="7" max="7" width="15.140625" customWidth="1"/>
    <col min="8" max="8" width="18.28515625" style="4" customWidth="1"/>
    <col min="9" max="9" width="15" style="4" customWidth="1"/>
    <col min="10" max="10" width="16.5703125" style="4" customWidth="1"/>
  </cols>
  <sheetData>
    <row r="1" spans="1:10" s="1" customFormat="1" x14ac:dyDescent="0.25">
      <c r="A1" s="3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1" t="s">
        <v>6</v>
      </c>
      <c r="H1" s="5" t="s">
        <v>7</v>
      </c>
      <c r="I1" s="5" t="s">
        <v>8</v>
      </c>
      <c r="J1" s="5" t="s">
        <v>9</v>
      </c>
    </row>
    <row r="2" spans="1:10" x14ac:dyDescent="0.25">
      <c r="A2" s="2">
        <v>46087</v>
      </c>
      <c r="B2" t="s">
        <v>96</v>
      </c>
      <c r="C2" t="s">
        <v>55</v>
      </c>
      <c r="D2" t="s">
        <v>87</v>
      </c>
      <c r="E2" t="s">
        <v>96</v>
      </c>
      <c r="F2" t="s">
        <v>98</v>
      </c>
      <c r="G2">
        <v>25</v>
      </c>
      <c r="H2" t="s">
        <v>15</v>
      </c>
      <c r="I2"/>
      <c r="J2" t="s">
        <v>58</v>
      </c>
    </row>
    <row r="3" spans="1:10" x14ac:dyDescent="0.25">
      <c r="A3" s="2">
        <v>46090</v>
      </c>
      <c r="B3" t="s">
        <v>10</v>
      </c>
      <c r="C3" t="s">
        <v>99</v>
      </c>
      <c r="D3" t="s">
        <v>87</v>
      </c>
      <c r="E3" t="s">
        <v>13</v>
      </c>
      <c r="F3" t="s">
        <v>92</v>
      </c>
      <c r="G3">
        <v>240</v>
      </c>
      <c r="H3" t="s">
        <v>21</v>
      </c>
      <c r="I3"/>
      <c r="J3" t="s">
        <v>100</v>
      </c>
    </row>
    <row r="4" spans="1:10" x14ac:dyDescent="0.25">
      <c r="A4" s="2">
        <v>46092</v>
      </c>
      <c r="B4" t="s">
        <v>106</v>
      </c>
      <c r="C4" t="s">
        <v>49</v>
      </c>
      <c r="D4" t="s">
        <v>87</v>
      </c>
      <c r="E4" t="s">
        <v>107</v>
      </c>
      <c r="F4" t="s">
        <v>108</v>
      </c>
      <c r="G4">
        <v>210</v>
      </c>
      <c r="H4" t="s">
        <v>21</v>
      </c>
      <c r="I4"/>
      <c r="J4" t="s">
        <v>51</v>
      </c>
    </row>
    <row r="5" spans="1:10" x14ac:dyDescent="0.25">
      <c r="A5" s="2">
        <v>46097</v>
      </c>
      <c r="B5" t="s">
        <v>104</v>
      </c>
      <c r="C5" t="s">
        <v>18</v>
      </c>
      <c r="D5" t="s">
        <v>87</v>
      </c>
      <c r="E5" t="s">
        <v>104</v>
      </c>
      <c r="F5" t="s">
        <v>105</v>
      </c>
      <c r="G5">
        <v>105</v>
      </c>
      <c r="H5" t="s">
        <v>21</v>
      </c>
      <c r="I5"/>
      <c r="J5" t="s">
        <v>113</v>
      </c>
    </row>
    <row r="6" spans="1:10" x14ac:dyDescent="0.25">
      <c r="A6" s="2">
        <v>46099</v>
      </c>
      <c r="B6" t="s">
        <v>32</v>
      </c>
      <c r="C6" t="s">
        <v>18</v>
      </c>
      <c r="D6" t="s">
        <v>87</v>
      </c>
      <c r="E6" t="s">
        <v>79</v>
      </c>
      <c r="F6" t="s">
        <v>80</v>
      </c>
      <c r="G6">
        <v>45</v>
      </c>
      <c r="H6" t="s">
        <v>21</v>
      </c>
      <c r="I6"/>
      <c r="J6" t="s">
        <v>74</v>
      </c>
    </row>
    <row r="7" spans="1:10" x14ac:dyDescent="0.25">
      <c r="A7" s="2">
        <v>46099</v>
      </c>
      <c r="B7" t="s">
        <v>48</v>
      </c>
      <c r="C7" t="s">
        <v>115</v>
      </c>
      <c r="D7" t="s">
        <v>87</v>
      </c>
      <c r="E7" t="s">
        <v>17</v>
      </c>
      <c r="F7" t="s">
        <v>116</v>
      </c>
      <c r="G7">
        <v>60</v>
      </c>
      <c r="H7" t="s">
        <v>21</v>
      </c>
      <c r="I7"/>
      <c r="J7" t="s">
        <v>117</v>
      </c>
    </row>
    <row r="8" spans="1:10" x14ac:dyDescent="0.25">
      <c r="A8" s="2">
        <v>46100</v>
      </c>
      <c r="B8" t="s">
        <v>84</v>
      </c>
      <c r="C8" t="s">
        <v>61</v>
      </c>
      <c r="D8" t="s">
        <v>87</v>
      </c>
      <c r="E8" t="s">
        <v>27</v>
      </c>
      <c r="F8" t="s">
        <v>118</v>
      </c>
      <c r="G8">
        <v>75</v>
      </c>
      <c r="H8" t="s">
        <v>21</v>
      </c>
      <c r="I8"/>
      <c r="J8" t="s">
        <v>95</v>
      </c>
    </row>
    <row r="9" spans="1:10" x14ac:dyDescent="0.25">
      <c r="A9" s="2">
        <v>46106</v>
      </c>
      <c r="B9" t="s">
        <v>32</v>
      </c>
      <c r="C9" t="s">
        <v>29</v>
      </c>
      <c r="D9" t="s">
        <v>87</v>
      </c>
      <c r="E9" t="s">
        <v>79</v>
      </c>
      <c r="F9" t="s">
        <v>62</v>
      </c>
      <c r="G9">
        <v>60</v>
      </c>
      <c r="H9" t="s">
        <v>21</v>
      </c>
      <c r="I9"/>
      <c r="J9" t="s">
        <v>54</v>
      </c>
    </row>
    <row r="10" spans="1:10" x14ac:dyDescent="0.25">
      <c r="A10" s="2">
        <v>46106</v>
      </c>
      <c r="B10" t="s">
        <v>106</v>
      </c>
      <c r="C10" t="s">
        <v>68</v>
      </c>
      <c r="D10" t="s">
        <v>87</v>
      </c>
      <c r="E10" t="s">
        <v>106</v>
      </c>
      <c r="F10" t="s">
        <v>125</v>
      </c>
      <c r="G10">
        <v>60</v>
      </c>
      <c r="H10" t="s">
        <v>15</v>
      </c>
      <c r="I10"/>
      <c r="J10" t="s">
        <v>71</v>
      </c>
    </row>
    <row r="11" spans="1:10" x14ac:dyDescent="0.25">
      <c r="A11" s="2">
        <v>46107</v>
      </c>
      <c r="B11" t="s">
        <v>106</v>
      </c>
      <c r="C11" t="s">
        <v>61</v>
      </c>
      <c r="D11" t="s">
        <v>87</v>
      </c>
      <c r="E11" t="s">
        <v>106</v>
      </c>
      <c r="F11" t="s">
        <v>108</v>
      </c>
      <c r="G11">
        <v>90</v>
      </c>
      <c r="H11" t="s">
        <v>21</v>
      </c>
      <c r="I11"/>
      <c r="J11" t="s">
        <v>63</v>
      </c>
    </row>
    <row r="12" spans="1:10" x14ac:dyDescent="0.25">
      <c r="A12" s="2">
        <v>46111</v>
      </c>
      <c r="B12" t="s">
        <v>106</v>
      </c>
      <c r="C12" t="s">
        <v>90</v>
      </c>
      <c r="D12" t="s">
        <v>87</v>
      </c>
      <c r="E12" t="s">
        <v>106</v>
      </c>
      <c r="F12" t="s">
        <v>126</v>
      </c>
      <c r="G12">
        <v>60</v>
      </c>
      <c r="H12" t="s">
        <v>21</v>
      </c>
      <c r="I12"/>
      <c r="J12" t="s">
        <v>93</v>
      </c>
    </row>
    <row r="13" spans="1:10" x14ac:dyDescent="0.25">
      <c r="A13" s="2">
        <v>46111</v>
      </c>
      <c r="B13" t="s">
        <v>96</v>
      </c>
      <c r="C13" t="s">
        <v>45</v>
      </c>
      <c r="D13" t="s">
        <v>87</v>
      </c>
      <c r="E13" t="s">
        <v>13</v>
      </c>
      <c r="F13" t="s">
        <v>127</v>
      </c>
      <c r="G13">
        <v>75</v>
      </c>
      <c r="H13" t="s">
        <v>15</v>
      </c>
      <c r="I13"/>
      <c r="J13" t="s">
        <v>47</v>
      </c>
    </row>
    <row r="14" spans="1:10" x14ac:dyDescent="0.25">
      <c r="A14" s="2">
        <v>46114</v>
      </c>
      <c r="B14" t="s">
        <v>133</v>
      </c>
      <c r="C14" t="s">
        <v>78</v>
      </c>
      <c r="D14" t="s">
        <v>87</v>
      </c>
      <c r="E14" t="s">
        <v>27</v>
      </c>
      <c r="F14" t="s">
        <v>134</v>
      </c>
      <c r="G14">
        <v>25</v>
      </c>
      <c r="H14" t="s">
        <v>21</v>
      </c>
      <c r="I14"/>
      <c r="J14" t="s">
        <v>135</v>
      </c>
    </row>
    <row r="15" spans="1:10" x14ac:dyDescent="0.25">
      <c r="A15" s="2">
        <v>46118</v>
      </c>
      <c r="B15" t="s">
        <v>10</v>
      </c>
      <c r="C15" t="s">
        <v>18</v>
      </c>
      <c r="D15" t="s">
        <v>87</v>
      </c>
      <c r="E15" t="s">
        <v>24</v>
      </c>
      <c r="F15" t="s">
        <v>14</v>
      </c>
      <c r="G15">
        <v>50</v>
      </c>
      <c r="H15" t="s">
        <v>21</v>
      </c>
      <c r="I15"/>
      <c r="J15" t="s">
        <v>22</v>
      </c>
    </row>
    <row r="16" spans="1:10" x14ac:dyDescent="0.25">
      <c r="A16" s="2">
        <v>46118</v>
      </c>
      <c r="B16" t="s">
        <v>133</v>
      </c>
      <c r="C16" t="s">
        <v>90</v>
      </c>
      <c r="D16" t="s">
        <v>87</v>
      </c>
      <c r="E16" t="s">
        <v>27</v>
      </c>
      <c r="F16" t="s">
        <v>139</v>
      </c>
      <c r="G16">
        <v>180</v>
      </c>
      <c r="H16" t="s">
        <v>21</v>
      </c>
      <c r="I16"/>
      <c r="J16" t="s">
        <v>93</v>
      </c>
    </row>
    <row r="17" spans="1:10" x14ac:dyDescent="0.25">
      <c r="A17" s="2">
        <v>46118</v>
      </c>
      <c r="B17" t="s">
        <v>13</v>
      </c>
      <c r="C17" t="s">
        <v>59</v>
      </c>
      <c r="D17" t="s">
        <v>87</v>
      </c>
      <c r="E17" t="s">
        <v>109</v>
      </c>
      <c r="F17" t="s">
        <v>110</v>
      </c>
      <c r="G17">
        <v>120</v>
      </c>
      <c r="H17" t="s">
        <v>15</v>
      </c>
      <c r="I17"/>
      <c r="J17" t="s">
        <v>140</v>
      </c>
    </row>
    <row r="18" spans="1:10" x14ac:dyDescent="0.25">
      <c r="A18" s="2">
        <v>46121</v>
      </c>
      <c r="B18" t="s">
        <v>84</v>
      </c>
      <c r="C18" t="s">
        <v>45</v>
      </c>
      <c r="D18" t="s">
        <v>87</v>
      </c>
      <c r="E18" t="s">
        <v>79</v>
      </c>
      <c r="F18" t="s">
        <v>88</v>
      </c>
      <c r="G18">
        <v>105</v>
      </c>
      <c r="H18" t="s">
        <v>21</v>
      </c>
      <c r="I18"/>
      <c r="J18" t="s">
        <v>146</v>
      </c>
    </row>
    <row r="19" spans="1:10" x14ac:dyDescent="0.25">
      <c r="A19" s="2">
        <v>46121</v>
      </c>
      <c r="B19" t="s">
        <v>84</v>
      </c>
      <c r="C19" t="s">
        <v>111</v>
      </c>
      <c r="D19" t="s">
        <v>87</v>
      </c>
      <c r="E19" t="s">
        <v>79</v>
      </c>
      <c r="F19" t="s">
        <v>88</v>
      </c>
      <c r="G19">
        <v>35</v>
      </c>
      <c r="H19" t="s">
        <v>15</v>
      </c>
      <c r="I19"/>
      <c r="J19" t="s">
        <v>147</v>
      </c>
    </row>
    <row r="20" spans="1:10" x14ac:dyDescent="0.25">
      <c r="A20" s="2">
        <v>46122</v>
      </c>
      <c r="B20" t="s">
        <v>13</v>
      </c>
      <c r="C20" t="s">
        <v>59</v>
      </c>
      <c r="D20" t="s">
        <v>87</v>
      </c>
      <c r="E20" t="s">
        <v>109</v>
      </c>
      <c r="F20" t="s">
        <v>110</v>
      </c>
      <c r="G20">
        <v>30</v>
      </c>
      <c r="H20" t="s">
        <v>21</v>
      </c>
      <c r="I20"/>
      <c r="J20" t="s">
        <v>140</v>
      </c>
    </row>
    <row r="21" spans="1:10" x14ac:dyDescent="0.25">
      <c r="A21" s="2">
        <v>46125</v>
      </c>
      <c r="B21" t="s">
        <v>106</v>
      </c>
      <c r="C21" t="s">
        <v>78</v>
      </c>
      <c r="D21" t="s">
        <v>87</v>
      </c>
      <c r="E21" t="s">
        <v>107</v>
      </c>
      <c r="F21" t="s">
        <v>126</v>
      </c>
      <c r="G21">
        <v>45</v>
      </c>
      <c r="H21" t="s">
        <v>21</v>
      </c>
      <c r="I21"/>
      <c r="J21" t="s">
        <v>135</v>
      </c>
    </row>
    <row r="22" spans="1:10" x14ac:dyDescent="0.25">
      <c r="A22" s="2">
        <v>46129</v>
      </c>
      <c r="B22" t="s">
        <v>96</v>
      </c>
      <c r="C22" t="s">
        <v>75</v>
      </c>
      <c r="D22" t="s">
        <v>87</v>
      </c>
      <c r="E22" t="s">
        <v>13</v>
      </c>
      <c r="F22" t="s">
        <v>128</v>
      </c>
      <c r="G22">
        <v>180</v>
      </c>
      <c r="H22" t="s">
        <v>15</v>
      </c>
      <c r="I22"/>
      <c r="J22" t="s">
        <v>131</v>
      </c>
    </row>
    <row r="23" spans="1:10" x14ac:dyDescent="0.25">
      <c r="A23" s="2">
        <v>46132</v>
      </c>
      <c r="B23" t="s">
        <v>48</v>
      </c>
      <c r="C23" t="s">
        <v>99</v>
      </c>
      <c r="D23" t="s">
        <v>87</v>
      </c>
      <c r="E23" t="s">
        <v>52</v>
      </c>
      <c r="F23" t="s">
        <v>116</v>
      </c>
      <c r="G23">
        <v>35</v>
      </c>
      <c r="H23" t="s">
        <v>15</v>
      </c>
      <c r="I23"/>
      <c r="J23" t="s">
        <v>100</v>
      </c>
    </row>
    <row r="24" spans="1:10" x14ac:dyDescent="0.25">
      <c r="A24" s="2">
        <v>46134</v>
      </c>
      <c r="B24" t="s">
        <v>32</v>
      </c>
      <c r="C24" t="s">
        <v>64</v>
      </c>
      <c r="D24" t="s">
        <v>87</v>
      </c>
      <c r="E24" t="s">
        <v>27</v>
      </c>
      <c r="F24" t="s">
        <v>80</v>
      </c>
      <c r="G24">
        <v>45</v>
      </c>
      <c r="H24" t="s">
        <v>21</v>
      </c>
      <c r="I24"/>
      <c r="J24" t="s">
        <v>67</v>
      </c>
    </row>
    <row r="25" spans="1:10" x14ac:dyDescent="0.25">
      <c r="A25" s="2">
        <v>46134</v>
      </c>
      <c r="B25" t="s">
        <v>32</v>
      </c>
      <c r="C25" t="s">
        <v>119</v>
      </c>
      <c r="D25" t="s">
        <v>87</v>
      </c>
      <c r="E25" t="s">
        <v>27</v>
      </c>
      <c r="F25" t="s">
        <v>80</v>
      </c>
      <c r="G25">
        <v>210</v>
      </c>
      <c r="H25" t="s">
        <v>21</v>
      </c>
      <c r="I25"/>
      <c r="J25" t="s">
        <v>120</v>
      </c>
    </row>
    <row r="26" spans="1:10" x14ac:dyDescent="0.25">
      <c r="A26" s="2">
        <v>46134</v>
      </c>
      <c r="B26" t="s">
        <v>104</v>
      </c>
      <c r="C26" t="s">
        <v>45</v>
      </c>
      <c r="D26" t="s">
        <v>87</v>
      </c>
      <c r="E26" t="s">
        <v>27</v>
      </c>
      <c r="F26" t="s">
        <v>153</v>
      </c>
      <c r="G26">
        <v>45</v>
      </c>
      <c r="H26" t="s">
        <v>15</v>
      </c>
      <c r="I26"/>
      <c r="J26" t="s">
        <v>47</v>
      </c>
    </row>
    <row r="27" spans="1:10" x14ac:dyDescent="0.25">
      <c r="A27" s="2">
        <v>46135</v>
      </c>
      <c r="B27" t="s">
        <v>106</v>
      </c>
      <c r="C27" t="s">
        <v>33</v>
      </c>
      <c r="D27" t="s">
        <v>87</v>
      </c>
      <c r="E27" t="s">
        <v>106</v>
      </c>
      <c r="F27" t="s">
        <v>129</v>
      </c>
      <c r="G27">
        <v>105</v>
      </c>
      <c r="H27" t="s">
        <v>21</v>
      </c>
      <c r="I27"/>
      <c r="J27" t="s">
        <v>35</v>
      </c>
    </row>
  </sheetData>
  <autoFilter ref="A1:J27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6"/>
  <sheetViews>
    <sheetView workbookViewId="0">
      <pane ySplit="1" topLeftCell="A2" activePane="bottomLeft" state="frozen"/>
      <selection pane="bottomLeft" activeCell="D2" sqref="D2:J2"/>
    </sheetView>
  </sheetViews>
  <sheetFormatPr defaultRowHeight="15" x14ac:dyDescent="0.25"/>
  <cols>
    <col min="1" max="1" width="15" style="2" customWidth="1"/>
    <col min="2" max="2" width="46.85546875" style="4" customWidth="1"/>
    <col min="3" max="3" width="40.7109375" style="4" customWidth="1"/>
    <col min="4" max="4" width="15" style="4" customWidth="1"/>
    <col min="5" max="5" width="20.28515625" style="4" customWidth="1"/>
    <col min="6" max="6" width="100" style="6" customWidth="1"/>
    <col min="7" max="7" width="15.140625" customWidth="1"/>
    <col min="8" max="8" width="18.28515625" style="4" customWidth="1"/>
    <col min="9" max="9" width="15" style="4" customWidth="1"/>
    <col min="10" max="10" width="16" style="4" customWidth="1"/>
  </cols>
  <sheetData>
    <row r="1" spans="1:10" s="1" customFormat="1" x14ac:dyDescent="0.25">
      <c r="A1" s="3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7" t="s">
        <v>5</v>
      </c>
      <c r="G1" s="1" t="s">
        <v>6</v>
      </c>
      <c r="H1" s="5" t="s">
        <v>7</v>
      </c>
      <c r="I1" s="5" t="s">
        <v>8</v>
      </c>
      <c r="J1" s="5" t="s">
        <v>9</v>
      </c>
    </row>
    <row r="2" spans="1:10" x14ac:dyDescent="0.25">
      <c r="A2" s="2">
        <v>46084</v>
      </c>
      <c r="B2" t="s">
        <v>10</v>
      </c>
      <c r="C2" t="s">
        <v>90</v>
      </c>
      <c r="D2" t="s">
        <v>12</v>
      </c>
      <c r="E2" t="s">
        <v>13</v>
      </c>
      <c r="F2" t="s">
        <v>92</v>
      </c>
      <c r="G2">
        <v>15</v>
      </c>
      <c r="H2" t="s">
        <v>21</v>
      </c>
      <c r="I2"/>
      <c r="J2" t="s">
        <v>93</v>
      </c>
    </row>
    <row r="3" spans="1:10" x14ac:dyDescent="0.25">
      <c r="A3" s="2">
        <v>46087</v>
      </c>
      <c r="B3" t="s">
        <v>32</v>
      </c>
      <c r="C3" t="s">
        <v>61</v>
      </c>
      <c r="D3" t="s">
        <v>12</v>
      </c>
      <c r="E3" t="s">
        <v>79</v>
      </c>
      <c r="F3" t="s">
        <v>94</v>
      </c>
      <c r="G3">
        <v>45</v>
      </c>
      <c r="H3" t="s">
        <v>21</v>
      </c>
      <c r="I3"/>
      <c r="J3" t="s">
        <v>95</v>
      </c>
    </row>
    <row r="4" spans="1:10" x14ac:dyDescent="0.25">
      <c r="A4" s="2">
        <v>46090</v>
      </c>
      <c r="B4" t="s">
        <v>36</v>
      </c>
      <c r="C4" t="s">
        <v>85</v>
      </c>
      <c r="D4" t="s">
        <v>12</v>
      </c>
      <c r="E4" t="s">
        <v>27</v>
      </c>
      <c r="F4" t="s">
        <v>101</v>
      </c>
      <c r="G4">
        <v>30</v>
      </c>
      <c r="H4" t="s">
        <v>15</v>
      </c>
      <c r="I4"/>
      <c r="J4" t="s">
        <v>102</v>
      </c>
    </row>
    <row r="5" spans="1:10" x14ac:dyDescent="0.25">
      <c r="A5" s="2">
        <v>46090</v>
      </c>
      <c r="B5" t="s">
        <v>10</v>
      </c>
      <c r="C5" t="s">
        <v>11</v>
      </c>
      <c r="D5" t="s">
        <v>12</v>
      </c>
      <c r="E5" t="s">
        <v>24</v>
      </c>
      <c r="F5" t="s">
        <v>103</v>
      </c>
      <c r="G5">
        <v>45</v>
      </c>
      <c r="H5" t="s">
        <v>21</v>
      </c>
      <c r="I5"/>
      <c r="J5" t="s">
        <v>16</v>
      </c>
    </row>
    <row r="6" spans="1:10" x14ac:dyDescent="0.25">
      <c r="A6" s="2">
        <v>46093</v>
      </c>
      <c r="B6" t="s">
        <v>17</v>
      </c>
      <c r="C6" t="s">
        <v>111</v>
      </c>
      <c r="D6" t="s">
        <v>12</v>
      </c>
      <c r="E6" t="s">
        <v>65</v>
      </c>
      <c r="F6" t="s">
        <v>30</v>
      </c>
      <c r="G6">
        <v>75</v>
      </c>
      <c r="H6" t="s">
        <v>15</v>
      </c>
      <c r="I6"/>
      <c r="J6" t="s">
        <v>112</v>
      </c>
    </row>
    <row r="7" spans="1:10" x14ac:dyDescent="0.25">
      <c r="A7" s="2">
        <v>46094</v>
      </c>
      <c r="B7" t="s">
        <v>32</v>
      </c>
      <c r="C7" t="s">
        <v>78</v>
      </c>
      <c r="D7" t="s">
        <v>12</v>
      </c>
      <c r="E7" t="s">
        <v>32</v>
      </c>
      <c r="F7" t="s">
        <v>80</v>
      </c>
      <c r="G7">
        <v>45</v>
      </c>
      <c r="H7" t="s">
        <v>21</v>
      </c>
      <c r="I7"/>
      <c r="J7" t="s">
        <v>81</v>
      </c>
    </row>
    <row r="8" spans="1:10" x14ac:dyDescent="0.25">
      <c r="A8" s="2">
        <v>46099</v>
      </c>
      <c r="B8" t="s">
        <v>36</v>
      </c>
      <c r="C8" t="s">
        <v>37</v>
      </c>
      <c r="D8" t="s">
        <v>12</v>
      </c>
      <c r="E8" t="s">
        <v>56</v>
      </c>
      <c r="F8" t="s">
        <v>38</v>
      </c>
      <c r="G8">
        <v>20</v>
      </c>
      <c r="H8" t="s">
        <v>21</v>
      </c>
      <c r="I8"/>
      <c r="J8" t="s">
        <v>114</v>
      </c>
    </row>
    <row r="9" spans="1:10" x14ac:dyDescent="0.25">
      <c r="A9" s="2">
        <v>46101</v>
      </c>
      <c r="B9" t="s">
        <v>36</v>
      </c>
      <c r="C9" t="s">
        <v>119</v>
      </c>
      <c r="D9" t="s">
        <v>12</v>
      </c>
      <c r="E9" t="s">
        <v>27</v>
      </c>
      <c r="F9" t="s">
        <v>101</v>
      </c>
      <c r="G9">
        <v>120</v>
      </c>
      <c r="H9" t="s">
        <v>21</v>
      </c>
      <c r="I9"/>
      <c r="J9" t="s">
        <v>120</v>
      </c>
    </row>
    <row r="10" spans="1:10" x14ac:dyDescent="0.25">
      <c r="A10" s="2">
        <v>46104</v>
      </c>
      <c r="B10" t="s">
        <v>36</v>
      </c>
      <c r="C10" t="s">
        <v>123</v>
      </c>
      <c r="D10" t="s">
        <v>12</v>
      </c>
      <c r="E10" t="s">
        <v>56</v>
      </c>
      <c r="F10" t="s">
        <v>38</v>
      </c>
      <c r="G10">
        <v>60</v>
      </c>
      <c r="H10" t="s">
        <v>21</v>
      </c>
      <c r="I10"/>
      <c r="J10" t="s">
        <v>124</v>
      </c>
    </row>
    <row r="11" spans="1:10" x14ac:dyDescent="0.25">
      <c r="A11" s="2">
        <v>46114</v>
      </c>
      <c r="B11" t="s">
        <v>10</v>
      </c>
      <c r="C11" t="s">
        <v>61</v>
      </c>
      <c r="D11" t="s">
        <v>12</v>
      </c>
      <c r="E11" t="s">
        <v>24</v>
      </c>
      <c r="F11" t="s">
        <v>25</v>
      </c>
      <c r="G11">
        <v>90</v>
      </c>
      <c r="H11" t="s">
        <v>21</v>
      </c>
      <c r="I11"/>
      <c r="J11" t="s">
        <v>132</v>
      </c>
    </row>
    <row r="12" spans="1:10" x14ac:dyDescent="0.25">
      <c r="A12" s="2">
        <v>46115</v>
      </c>
      <c r="B12" t="s">
        <v>36</v>
      </c>
      <c r="C12" t="s">
        <v>75</v>
      </c>
      <c r="D12" t="s">
        <v>12</v>
      </c>
      <c r="E12" t="s">
        <v>27</v>
      </c>
      <c r="F12" t="s">
        <v>136</v>
      </c>
      <c r="G12">
        <v>45</v>
      </c>
      <c r="H12" t="s">
        <v>21</v>
      </c>
      <c r="I12"/>
      <c r="J12" t="s">
        <v>137</v>
      </c>
    </row>
    <row r="13" spans="1:10" x14ac:dyDescent="0.25">
      <c r="A13" s="2">
        <v>46115</v>
      </c>
      <c r="B13" t="s">
        <v>17</v>
      </c>
      <c r="C13" t="s">
        <v>55</v>
      </c>
      <c r="D13" t="s">
        <v>12</v>
      </c>
      <c r="E13" t="s">
        <v>17</v>
      </c>
      <c r="F13" t="s">
        <v>66</v>
      </c>
      <c r="G13">
        <v>75</v>
      </c>
      <c r="H13" t="s">
        <v>21</v>
      </c>
      <c r="I13"/>
      <c r="J13" t="s">
        <v>58</v>
      </c>
    </row>
    <row r="14" spans="1:10" x14ac:dyDescent="0.25">
      <c r="A14" s="2">
        <v>46119</v>
      </c>
      <c r="B14" t="s">
        <v>48</v>
      </c>
      <c r="C14" t="s">
        <v>142</v>
      </c>
      <c r="D14" t="s">
        <v>12</v>
      </c>
      <c r="E14" t="s">
        <v>52</v>
      </c>
      <c r="F14" t="s">
        <v>50</v>
      </c>
      <c r="G14">
        <v>40</v>
      </c>
      <c r="H14" t="s">
        <v>21</v>
      </c>
      <c r="I14"/>
      <c r="J14" t="s">
        <v>143</v>
      </c>
    </row>
    <row r="15" spans="1:10" x14ac:dyDescent="0.25">
      <c r="A15" s="2">
        <v>46122</v>
      </c>
      <c r="B15" t="s">
        <v>36</v>
      </c>
      <c r="C15" t="s">
        <v>59</v>
      </c>
      <c r="D15" t="s">
        <v>12</v>
      </c>
      <c r="E15" t="s">
        <v>56</v>
      </c>
      <c r="F15" t="s">
        <v>38</v>
      </c>
      <c r="G15">
        <v>60</v>
      </c>
      <c r="H15" t="s">
        <v>21</v>
      </c>
      <c r="I15"/>
      <c r="J15" t="s">
        <v>140</v>
      </c>
    </row>
    <row r="16" spans="1:10" x14ac:dyDescent="0.25">
      <c r="A16" s="2">
        <v>46122</v>
      </c>
      <c r="B16" t="s">
        <v>48</v>
      </c>
      <c r="C16" t="s">
        <v>99</v>
      </c>
      <c r="D16" t="s">
        <v>12</v>
      </c>
      <c r="E16" t="s">
        <v>17</v>
      </c>
      <c r="F16" t="s">
        <v>50</v>
      </c>
      <c r="G16">
        <v>30</v>
      </c>
      <c r="H16" t="s">
        <v>21</v>
      </c>
      <c r="I16"/>
      <c r="J16" t="s">
        <v>100</v>
      </c>
    </row>
    <row r="17" spans="1:10" x14ac:dyDescent="0.25">
      <c r="A17" s="2">
        <v>46122</v>
      </c>
      <c r="B17" t="s">
        <v>48</v>
      </c>
      <c r="C17" t="s">
        <v>61</v>
      </c>
      <c r="D17" t="s">
        <v>12</v>
      </c>
      <c r="E17" t="s">
        <v>17</v>
      </c>
      <c r="F17" t="s">
        <v>50</v>
      </c>
      <c r="G17">
        <v>120</v>
      </c>
      <c r="H17" t="s">
        <v>21</v>
      </c>
      <c r="I17"/>
      <c r="J17" t="s">
        <v>95</v>
      </c>
    </row>
    <row r="18" spans="1:10" x14ac:dyDescent="0.25">
      <c r="A18" s="2">
        <v>46126</v>
      </c>
      <c r="B18" t="s">
        <v>10</v>
      </c>
      <c r="C18" t="s">
        <v>90</v>
      </c>
      <c r="D18" t="s">
        <v>12</v>
      </c>
      <c r="E18" t="s">
        <v>13</v>
      </c>
      <c r="F18" t="s">
        <v>150</v>
      </c>
      <c r="G18">
        <v>180</v>
      </c>
      <c r="H18" t="s">
        <v>21</v>
      </c>
      <c r="I18"/>
      <c r="J18" t="s">
        <v>93</v>
      </c>
    </row>
    <row r="19" spans="1:10" x14ac:dyDescent="0.25">
      <c r="A19" s="2">
        <v>46126</v>
      </c>
      <c r="B19" t="s">
        <v>36</v>
      </c>
      <c r="C19" t="s">
        <v>29</v>
      </c>
      <c r="D19" t="s">
        <v>12</v>
      </c>
      <c r="E19" t="s">
        <v>56</v>
      </c>
      <c r="F19" t="s">
        <v>73</v>
      </c>
      <c r="G19">
        <v>120</v>
      </c>
      <c r="H19" t="s">
        <v>21</v>
      </c>
      <c r="I19"/>
      <c r="J19" t="s">
        <v>54</v>
      </c>
    </row>
    <row r="20" spans="1:10" x14ac:dyDescent="0.25">
      <c r="A20" s="2">
        <v>46132</v>
      </c>
      <c r="B20" t="s">
        <v>17</v>
      </c>
      <c r="C20" t="s">
        <v>90</v>
      </c>
      <c r="D20" t="s">
        <v>12</v>
      </c>
      <c r="E20" t="s">
        <v>19</v>
      </c>
      <c r="F20" t="s">
        <v>40</v>
      </c>
      <c r="G20">
        <v>90</v>
      </c>
      <c r="H20" t="s">
        <v>21</v>
      </c>
      <c r="I20"/>
      <c r="J20" t="s">
        <v>145</v>
      </c>
    </row>
    <row r="21" spans="1:10" x14ac:dyDescent="0.25">
      <c r="A21" s="2">
        <v>46133</v>
      </c>
      <c r="B21" t="s">
        <v>32</v>
      </c>
      <c r="C21" t="s">
        <v>45</v>
      </c>
      <c r="D21" t="s">
        <v>12</v>
      </c>
      <c r="E21" t="s">
        <v>32</v>
      </c>
      <c r="F21" t="s">
        <v>34</v>
      </c>
      <c r="G21">
        <v>45</v>
      </c>
      <c r="H21" t="s">
        <v>21</v>
      </c>
      <c r="I21"/>
      <c r="J21" t="s">
        <v>146</v>
      </c>
    </row>
    <row r="22" spans="1:10" x14ac:dyDescent="0.25">
      <c r="A22" s="2">
        <v>46133</v>
      </c>
      <c r="B22" t="s">
        <v>36</v>
      </c>
      <c r="C22" t="s">
        <v>115</v>
      </c>
      <c r="D22" t="s">
        <v>12</v>
      </c>
      <c r="E22" t="s">
        <v>56</v>
      </c>
      <c r="F22" t="s">
        <v>152</v>
      </c>
      <c r="G22">
        <v>120</v>
      </c>
      <c r="H22" t="s">
        <v>21</v>
      </c>
      <c r="I22"/>
      <c r="J22" t="s">
        <v>117</v>
      </c>
    </row>
    <row r="23" spans="1:10" x14ac:dyDescent="0.25">
      <c r="A23" s="2">
        <v>46134</v>
      </c>
      <c r="B23" t="s">
        <v>36</v>
      </c>
      <c r="C23" t="s">
        <v>115</v>
      </c>
      <c r="D23" t="s">
        <v>12</v>
      </c>
      <c r="E23" t="s">
        <v>27</v>
      </c>
      <c r="F23" t="s">
        <v>73</v>
      </c>
      <c r="G23">
        <v>60</v>
      </c>
      <c r="H23" t="s">
        <v>21</v>
      </c>
      <c r="I23"/>
      <c r="J23" t="s">
        <v>117</v>
      </c>
    </row>
    <row r="24" spans="1:10" x14ac:dyDescent="0.25">
      <c r="A24" s="2">
        <v>46134</v>
      </c>
      <c r="B24" t="s">
        <v>17</v>
      </c>
      <c r="C24" t="s">
        <v>45</v>
      </c>
      <c r="D24" t="s">
        <v>12</v>
      </c>
      <c r="E24" t="s">
        <v>17</v>
      </c>
      <c r="F24" t="s">
        <v>66</v>
      </c>
      <c r="G24">
        <v>40</v>
      </c>
      <c r="H24" t="s">
        <v>21</v>
      </c>
      <c r="I24"/>
      <c r="J24" t="s">
        <v>146</v>
      </c>
    </row>
    <row r="25" spans="1:10" x14ac:dyDescent="0.25">
      <c r="A25" s="2">
        <v>46135</v>
      </c>
      <c r="B25" t="s">
        <v>10</v>
      </c>
      <c r="C25" t="s">
        <v>111</v>
      </c>
      <c r="D25" t="s">
        <v>12</v>
      </c>
      <c r="E25" t="s">
        <v>27</v>
      </c>
      <c r="F25" t="s">
        <v>150</v>
      </c>
      <c r="G25">
        <v>105</v>
      </c>
      <c r="H25" t="s">
        <v>21</v>
      </c>
      <c r="I25"/>
      <c r="J25" t="s">
        <v>112</v>
      </c>
    </row>
    <row r="26" spans="1:10" x14ac:dyDescent="0.25">
      <c r="A26" s="2">
        <v>46136</v>
      </c>
      <c r="B26" t="s">
        <v>17</v>
      </c>
      <c r="C26" t="s">
        <v>49</v>
      </c>
      <c r="D26" t="s">
        <v>12</v>
      </c>
      <c r="E26" t="s">
        <v>19</v>
      </c>
      <c r="F26" t="s">
        <v>40</v>
      </c>
      <c r="G26">
        <v>90</v>
      </c>
      <c r="H26" t="s">
        <v>21</v>
      </c>
      <c r="I26"/>
      <c r="J26" t="s">
        <v>51</v>
      </c>
    </row>
  </sheetData>
  <autoFilter ref="A1:J26" xr:uid="{00000000-0009-0000-0000-000002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5"/>
  <sheetViews>
    <sheetView workbookViewId="0">
      <pane ySplit="1" topLeftCell="A2" activePane="bottomLeft" state="frozen"/>
      <selection pane="bottomLeft" activeCell="E21" sqref="E21"/>
    </sheetView>
  </sheetViews>
  <sheetFormatPr defaultRowHeight="15" x14ac:dyDescent="0.25"/>
  <cols>
    <col min="1" max="1" width="15" style="2" customWidth="1"/>
    <col min="2" max="2" width="15" style="4" customWidth="1"/>
    <col min="3" max="3" width="32" customWidth="1"/>
    <col min="4" max="4" width="16" customWidth="1"/>
    <col min="5" max="5" width="20" customWidth="1"/>
    <col min="6" max="6" width="50" customWidth="1"/>
    <col min="7" max="7" width="15.140625" customWidth="1"/>
    <col min="8" max="8" width="15" style="4" customWidth="1"/>
    <col min="9" max="9" width="15" customWidth="1"/>
    <col min="10" max="10" width="17" customWidth="1"/>
  </cols>
  <sheetData>
    <row r="1" spans="1:10" s="1" customFormat="1" x14ac:dyDescent="0.25">
      <c r="A1" s="3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1" t="s">
        <v>6</v>
      </c>
      <c r="H1" s="5" t="s">
        <v>7</v>
      </c>
      <c r="I1" s="5" t="s">
        <v>8</v>
      </c>
      <c r="J1" s="5" t="s">
        <v>9</v>
      </c>
    </row>
    <row r="2" spans="1:10" ht="30" customHeight="1" x14ac:dyDescent="0.25">
      <c r="A2" s="2">
        <v>46083</v>
      </c>
      <c r="B2" t="s">
        <v>84</v>
      </c>
      <c r="C2" t="s">
        <v>85</v>
      </c>
      <c r="D2" t="s">
        <v>87</v>
      </c>
      <c r="E2" t="s">
        <v>27</v>
      </c>
      <c r="F2" t="s">
        <v>88</v>
      </c>
      <c r="G2">
        <v>30</v>
      </c>
      <c r="H2" t="s">
        <v>21</v>
      </c>
      <c r="J2" t="s">
        <v>89</v>
      </c>
    </row>
    <row r="3" spans="1:10" x14ac:dyDescent="0.25">
      <c r="A3" s="2">
        <v>46087</v>
      </c>
      <c r="B3" t="s">
        <v>10</v>
      </c>
      <c r="C3" t="s">
        <v>99</v>
      </c>
      <c r="D3" t="s">
        <v>87</v>
      </c>
      <c r="E3" t="s">
        <v>13</v>
      </c>
      <c r="F3" t="s">
        <v>14</v>
      </c>
      <c r="G3">
        <v>50</v>
      </c>
      <c r="H3" t="s">
        <v>21</v>
      </c>
      <c r="J3" t="s">
        <v>100</v>
      </c>
    </row>
    <row r="4" spans="1:10" x14ac:dyDescent="0.25">
      <c r="A4" s="2">
        <v>46090</v>
      </c>
      <c r="B4" t="s">
        <v>104</v>
      </c>
      <c r="C4" t="s">
        <v>29</v>
      </c>
      <c r="D4" t="s">
        <v>87</v>
      </c>
      <c r="E4" t="s">
        <v>104</v>
      </c>
      <c r="F4" t="s">
        <v>105</v>
      </c>
      <c r="G4">
        <v>15</v>
      </c>
      <c r="H4" t="s">
        <v>21</v>
      </c>
      <c r="J4" t="s">
        <v>31</v>
      </c>
    </row>
    <row r="5" spans="1:10" x14ac:dyDescent="0.25">
      <c r="A5" s="2">
        <v>46091</v>
      </c>
      <c r="B5" t="s">
        <v>10</v>
      </c>
      <c r="C5" t="s">
        <v>23</v>
      </c>
      <c r="D5" t="s">
        <v>87</v>
      </c>
      <c r="E5" t="s">
        <v>27</v>
      </c>
      <c r="F5" t="s">
        <v>14</v>
      </c>
      <c r="G5">
        <v>30</v>
      </c>
      <c r="H5" t="s">
        <v>21</v>
      </c>
      <c r="J5" t="s">
        <v>28</v>
      </c>
    </row>
    <row r="6" spans="1:10" x14ac:dyDescent="0.25">
      <c r="A6" s="2">
        <v>46092</v>
      </c>
      <c r="B6" t="s">
        <v>13</v>
      </c>
      <c r="C6" t="s">
        <v>99</v>
      </c>
      <c r="D6" t="s">
        <v>87</v>
      </c>
      <c r="E6" t="s">
        <v>109</v>
      </c>
      <c r="F6" t="s">
        <v>110</v>
      </c>
      <c r="G6">
        <v>45</v>
      </c>
      <c r="H6" t="s">
        <v>15</v>
      </c>
      <c r="J6" t="s">
        <v>100</v>
      </c>
    </row>
    <row r="7" spans="1:10" x14ac:dyDescent="0.25">
      <c r="A7" s="2">
        <v>46101</v>
      </c>
      <c r="B7" t="s">
        <v>13</v>
      </c>
      <c r="C7" t="s">
        <v>78</v>
      </c>
      <c r="D7" t="s">
        <v>87</v>
      </c>
      <c r="E7" t="s">
        <v>13</v>
      </c>
      <c r="F7" t="s">
        <v>121</v>
      </c>
      <c r="G7">
        <v>120</v>
      </c>
      <c r="H7" t="s">
        <v>15</v>
      </c>
      <c r="J7" t="s">
        <v>81</v>
      </c>
    </row>
    <row r="8" spans="1:10" x14ac:dyDescent="0.25">
      <c r="A8" s="2">
        <v>46101</v>
      </c>
      <c r="B8" t="s">
        <v>32</v>
      </c>
      <c r="C8" t="s">
        <v>49</v>
      </c>
      <c r="D8" t="s">
        <v>87</v>
      </c>
      <c r="E8" t="s">
        <v>79</v>
      </c>
      <c r="F8" t="s">
        <v>94</v>
      </c>
      <c r="G8">
        <v>40</v>
      </c>
      <c r="H8" t="s">
        <v>21</v>
      </c>
      <c r="J8" t="s">
        <v>122</v>
      </c>
    </row>
    <row r="9" spans="1:10" x14ac:dyDescent="0.25">
      <c r="A9" s="2">
        <v>46101</v>
      </c>
      <c r="B9" t="s">
        <v>48</v>
      </c>
      <c r="C9" t="s">
        <v>42</v>
      </c>
      <c r="D9" t="s">
        <v>87</v>
      </c>
      <c r="E9" t="s">
        <v>17</v>
      </c>
      <c r="F9" t="s">
        <v>53</v>
      </c>
      <c r="G9">
        <v>180</v>
      </c>
      <c r="H9" t="s">
        <v>21</v>
      </c>
      <c r="J9" t="s">
        <v>44</v>
      </c>
    </row>
    <row r="10" spans="1:10" x14ac:dyDescent="0.25">
      <c r="A10" s="2">
        <v>46105</v>
      </c>
      <c r="B10" t="s">
        <v>10</v>
      </c>
      <c r="C10" t="s">
        <v>18</v>
      </c>
      <c r="D10" t="s">
        <v>87</v>
      </c>
      <c r="E10" t="s">
        <v>24</v>
      </c>
      <c r="F10" t="s">
        <v>25</v>
      </c>
      <c r="G10">
        <v>105</v>
      </c>
      <c r="H10" t="s">
        <v>21</v>
      </c>
      <c r="J10" t="s">
        <v>113</v>
      </c>
    </row>
    <row r="11" spans="1:10" x14ac:dyDescent="0.25">
      <c r="A11" s="2">
        <v>46108</v>
      </c>
      <c r="B11" t="s">
        <v>32</v>
      </c>
      <c r="C11" t="s">
        <v>68</v>
      </c>
      <c r="D11" t="s">
        <v>87</v>
      </c>
      <c r="E11" t="s">
        <v>79</v>
      </c>
      <c r="F11" t="s">
        <v>34</v>
      </c>
      <c r="G11">
        <v>75</v>
      </c>
      <c r="H11" t="s">
        <v>21</v>
      </c>
      <c r="J11" t="s">
        <v>69</v>
      </c>
    </row>
    <row r="12" spans="1:10" x14ac:dyDescent="0.25">
      <c r="A12" s="2">
        <v>46111</v>
      </c>
      <c r="B12" t="s">
        <v>96</v>
      </c>
      <c r="C12" t="s">
        <v>45</v>
      </c>
      <c r="D12" t="s">
        <v>87</v>
      </c>
      <c r="E12" t="s">
        <v>96</v>
      </c>
      <c r="F12" t="s">
        <v>128</v>
      </c>
      <c r="G12">
        <v>60</v>
      </c>
      <c r="H12" t="s">
        <v>21</v>
      </c>
      <c r="J12" t="s">
        <v>47</v>
      </c>
    </row>
    <row r="13" spans="1:10" x14ac:dyDescent="0.25">
      <c r="A13" s="2">
        <v>46112</v>
      </c>
      <c r="B13" t="s">
        <v>106</v>
      </c>
      <c r="C13" t="s">
        <v>49</v>
      </c>
      <c r="D13" t="s">
        <v>87</v>
      </c>
      <c r="E13" t="s">
        <v>106</v>
      </c>
      <c r="F13" t="s">
        <v>129</v>
      </c>
      <c r="G13">
        <v>30</v>
      </c>
      <c r="H13" t="s">
        <v>21</v>
      </c>
      <c r="J13" t="s">
        <v>122</v>
      </c>
    </row>
    <row r="14" spans="1:10" x14ac:dyDescent="0.25">
      <c r="A14" s="2">
        <v>46113</v>
      </c>
      <c r="B14" t="s">
        <v>84</v>
      </c>
      <c r="C14" t="s">
        <v>75</v>
      </c>
      <c r="D14" t="s">
        <v>87</v>
      </c>
      <c r="E14" t="s">
        <v>79</v>
      </c>
      <c r="F14" t="s">
        <v>130</v>
      </c>
      <c r="G14">
        <v>20</v>
      </c>
      <c r="H14" t="s">
        <v>15</v>
      </c>
      <c r="J14" t="s">
        <v>131</v>
      </c>
    </row>
    <row r="15" spans="1:10" x14ac:dyDescent="0.25">
      <c r="A15" s="2">
        <v>46115</v>
      </c>
      <c r="B15" t="s">
        <v>13</v>
      </c>
      <c r="C15" t="s">
        <v>29</v>
      </c>
      <c r="D15" t="s">
        <v>87</v>
      </c>
      <c r="E15" t="s">
        <v>109</v>
      </c>
      <c r="F15" t="s">
        <v>138</v>
      </c>
      <c r="G15">
        <v>120</v>
      </c>
      <c r="H15" t="s">
        <v>15</v>
      </c>
      <c r="J15" t="s">
        <v>54</v>
      </c>
    </row>
    <row r="16" spans="1:10" x14ac:dyDescent="0.25">
      <c r="A16" s="2">
        <v>46118</v>
      </c>
      <c r="B16" t="s">
        <v>13</v>
      </c>
      <c r="C16" t="s">
        <v>78</v>
      </c>
      <c r="D16" t="s">
        <v>87</v>
      </c>
      <c r="E16" t="s">
        <v>109</v>
      </c>
      <c r="F16" t="s">
        <v>141</v>
      </c>
      <c r="G16">
        <v>35</v>
      </c>
      <c r="H16" t="s">
        <v>15</v>
      </c>
      <c r="J16" t="s">
        <v>81</v>
      </c>
    </row>
    <row r="17" spans="1:10" x14ac:dyDescent="0.25">
      <c r="A17" s="2">
        <v>46119</v>
      </c>
      <c r="B17" t="s">
        <v>84</v>
      </c>
      <c r="C17" t="s">
        <v>90</v>
      </c>
      <c r="D17" t="s">
        <v>87</v>
      </c>
      <c r="E17" t="s">
        <v>79</v>
      </c>
      <c r="F17" t="s">
        <v>144</v>
      </c>
      <c r="G17">
        <v>75</v>
      </c>
      <c r="H17" t="s">
        <v>15</v>
      </c>
      <c r="J17" t="s">
        <v>145</v>
      </c>
    </row>
    <row r="18" spans="1:10" x14ac:dyDescent="0.25">
      <c r="A18" s="2">
        <v>46120</v>
      </c>
      <c r="B18" t="s">
        <v>106</v>
      </c>
      <c r="C18" t="s">
        <v>64</v>
      </c>
      <c r="D18" t="s">
        <v>87</v>
      </c>
      <c r="E18" t="s">
        <v>106</v>
      </c>
      <c r="F18" t="s">
        <v>108</v>
      </c>
      <c r="G18">
        <v>35</v>
      </c>
      <c r="H18" t="s">
        <v>21</v>
      </c>
      <c r="J18" t="s">
        <v>67</v>
      </c>
    </row>
    <row r="19" spans="1:10" x14ac:dyDescent="0.25">
      <c r="A19" s="2">
        <v>46121</v>
      </c>
      <c r="B19" t="s">
        <v>84</v>
      </c>
      <c r="C19" t="s">
        <v>18</v>
      </c>
      <c r="D19" t="s">
        <v>87</v>
      </c>
      <c r="E19" t="s">
        <v>79</v>
      </c>
      <c r="F19" t="s">
        <v>144</v>
      </c>
      <c r="G19">
        <v>45</v>
      </c>
      <c r="H19" t="s">
        <v>21</v>
      </c>
      <c r="J19" t="s">
        <v>113</v>
      </c>
    </row>
    <row r="20" spans="1:10" x14ac:dyDescent="0.25">
      <c r="A20" s="2">
        <v>46121</v>
      </c>
      <c r="B20" t="s">
        <v>84</v>
      </c>
      <c r="C20" t="s">
        <v>78</v>
      </c>
      <c r="D20" t="s">
        <v>87</v>
      </c>
      <c r="E20" t="s">
        <v>27</v>
      </c>
      <c r="F20" t="s">
        <v>88</v>
      </c>
      <c r="G20">
        <v>150</v>
      </c>
      <c r="H20" t="s">
        <v>15</v>
      </c>
      <c r="J20" t="s">
        <v>135</v>
      </c>
    </row>
    <row r="21" spans="1:10" x14ac:dyDescent="0.25">
      <c r="A21" s="2">
        <v>46125</v>
      </c>
      <c r="B21" t="s">
        <v>13</v>
      </c>
      <c r="C21" t="s">
        <v>142</v>
      </c>
      <c r="D21" t="s">
        <v>87</v>
      </c>
      <c r="E21" t="s">
        <v>13</v>
      </c>
      <c r="F21" t="s">
        <v>148</v>
      </c>
      <c r="G21">
        <v>210</v>
      </c>
      <c r="H21" t="s">
        <v>21</v>
      </c>
      <c r="J21" t="s">
        <v>149</v>
      </c>
    </row>
    <row r="22" spans="1:10" x14ac:dyDescent="0.25">
      <c r="A22" s="2">
        <v>46125</v>
      </c>
      <c r="B22" t="s">
        <v>48</v>
      </c>
      <c r="C22" t="s">
        <v>61</v>
      </c>
      <c r="D22" t="s">
        <v>87</v>
      </c>
      <c r="E22" t="s">
        <v>52</v>
      </c>
      <c r="F22" t="s">
        <v>116</v>
      </c>
      <c r="G22">
        <v>120</v>
      </c>
      <c r="H22" t="s">
        <v>21</v>
      </c>
      <c r="J22" t="s">
        <v>132</v>
      </c>
    </row>
    <row r="23" spans="1:10" x14ac:dyDescent="0.25">
      <c r="A23" s="2">
        <v>46128</v>
      </c>
      <c r="B23" t="s">
        <v>133</v>
      </c>
      <c r="C23" t="s">
        <v>111</v>
      </c>
      <c r="D23" t="s">
        <v>87</v>
      </c>
      <c r="E23" t="s">
        <v>27</v>
      </c>
      <c r="F23" t="s">
        <v>151</v>
      </c>
      <c r="G23">
        <v>35</v>
      </c>
      <c r="H23" t="s">
        <v>21</v>
      </c>
      <c r="J23" t="s">
        <v>112</v>
      </c>
    </row>
    <row r="24" spans="1:10" x14ac:dyDescent="0.25">
      <c r="A24" s="2">
        <v>46134</v>
      </c>
      <c r="B24" t="s">
        <v>10</v>
      </c>
      <c r="C24" t="s">
        <v>99</v>
      </c>
      <c r="D24" t="s">
        <v>87</v>
      </c>
      <c r="E24" t="s">
        <v>27</v>
      </c>
      <c r="F24" t="s">
        <v>150</v>
      </c>
      <c r="G24">
        <v>40</v>
      </c>
      <c r="H24" t="s">
        <v>21</v>
      </c>
      <c r="J24" t="s">
        <v>100</v>
      </c>
    </row>
    <row r="25" spans="1:10" x14ac:dyDescent="0.25">
      <c r="A25" s="2">
        <v>46136</v>
      </c>
      <c r="B25" t="s">
        <v>96</v>
      </c>
      <c r="C25" t="s">
        <v>29</v>
      </c>
      <c r="D25" t="s">
        <v>87</v>
      </c>
      <c r="E25" t="s">
        <v>13</v>
      </c>
      <c r="F25" t="s">
        <v>128</v>
      </c>
      <c r="G25">
        <v>150</v>
      </c>
      <c r="H25" t="s">
        <v>15</v>
      </c>
      <c r="J25" t="s">
        <v>154</v>
      </c>
    </row>
  </sheetData>
  <autoFilter ref="A1:J25" xr:uid="{00000000-0009-0000-0000-000003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6"/>
  <sheetViews>
    <sheetView workbookViewId="0">
      <pane ySplit="1" topLeftCell="A2" activePane="bottomLeft" state="frozen"/>
      <selection pane="bottomLeft" activeCell="C3" sqref="C3"/>
    </sheetView>
  </sheetViews>
  <sheetFormatPr defaultRowHeight="15" x14ac:dyDescent="0.25"/>
  <cols>
    <col min="1" max="1" width="15" style="2" customWidth="1"/>
    <col min="2" max="2" width="51.42578125" style="4" customWidth="1"/>
    <col min="3" max="3" width="51.140625" style="4" customWidth="1"/>
    <col min="4" max="4" width="16.85546875" style="4" customWidth="1"/>
    <col min="5" max="5" width="17" style="4" customWidth="1"/>
    <col min="6" max="6" width="100" style="6" customWidth="1"/>
    <col min="7" max="7" width="15.140625" customWidth="1"/>
    <col min="8" max="8" width="18.28515625" style="4" customWidth="1"/>
    <col min="9" max="9" width="15" style="4" customWidth="1"/>
    <col min="10" max="10" width="17.140625" style="4" customWidth="1"/>
  </cols>
  <sheetData>
    <row r="1" spans="1:10" s="1" customFormat="1" x14ac:dyDescent="0.25">
      <c r="A1" s="3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7" t="s">
        <v>5</v>
      </c>
      <c r="G1" s="1" t="s">
        <v>6</v>
      </c>
      <c r="H1" s="5" t="s">
        <v>7</v>
      </c>
      <c r="I1" s="5" t="s">
        <v>8</v>
      </c>
      <c r="J1" s="5" t="s">
        <v>9</v>
      </c>
    </row>
    <row r="2" spans="1:10" x14ac:dyDescent="0.25">
      <c r="A2" s="2">
        <v>46083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30</v>
      </c>
      <c r="H2" t="s">
        <v>15</v>
      </c>
      <c r="I2"/>
      <c r="J2" t="s">
        <v>16</v>
      </c>
    </row>
    <row r="3" spans="1:10" x14ac:dyDescent="0.25">
      <c r="A3" s="2">
        <v>46083</v>
      </c>
      <c r="B3" t="s">
        <v>17</v>
      </c>
      <c r="C3" t="s">
        <v>18</v>
      </c>
      <c r="D3" t="s">
        <v>12</v>
      </c>
      <c r="E3" t="s">
        <v>19</v>
      </c>
      <c r="F3" t="s">
        <v>20</v>
      </c>
      <c r="G3">
        <v>60</v>
      </c>
      <c r="H3" t="s">
        <v>21</v>
      </c>
      <c r="I3"/>
      <c r="J3" t="s">
        <v>22</v>
      </c>
    </row>
    <row r="4" spans="1:10" x14ac:dyDescent="0.25">
      <c r="A4" s="2">
        <v>46086</v>
      </c>
      <c r="B4" t="s">
        <v>10</v>
      </c>
      <c r="C4" t="s">
        <v>23</v>
      </c>
      <c r="D4" t="s">
        <v>12</v>
      </c>
      <c r="E4" t="s">
        <v>24</v>
      </c>
      <c r="F4" t="s">
        <v>25</v>
      </c>
      <c r="G4">
        <v>75</v>
      </c>
      <c r="H4" t="s">
        <v>21</v>
      </c>
      <c r="I4"/>
      <c r="J4" t="s">
        <v>26</v>
      </c>
    </row>
    <row r="5" spans="1:10" x14ac:dyDescent="0.25">
      <c r="A5" s="2">
        <v>46090</v>
      </c>
      <c r="B5" t="s">
        <v>10</v>
      </c>
      <c r="C5" t="s">
        <v>23</v>
      </c>
      <c r="D5" t="s">
        <v>12</v>
      </c>
      <c r="E5" t="s">
        <v>27</v>
      </c>
      <c r="F5" t="s">
        <v>14</v>
      </c>
      <c r="G5">
        <v>75</v>
      </c>
      <c r="H5" t="s">
        <v>21</v>
      </c>
      <c r="I5"/>
      <c r="J5" t="s">
        <v>28</v>
      </c>
    </row>
    <row r="6" spans="1:10" x14ac:dyDescent="0.25">
      <c r="A6" s="2">
        <v>46091</v>
      </c>
      <c r="B6" t="s">
        <v>17</v>
      </c>
      <c r="C6" t="s">
        <v>29</v>
      </c>
      <c r="D6" t="s">
        <v>12</v>
      </c>
      <c r="E6" t="s">
        <v>17</v>
      </c>
      <c r="F6" t="s">
        <v>30</v>
      </c>
      <c r="G6">
        <v>40</v>
      </c>
      <c r="H6" t="s">
        <v>21</v>
      </c>
      <c r="I6"/>
      <c r="J6" t="s">
        <v>31</v>
      </c>
    </row>
    <row r="7" spans="1:10" x14ac:dyDescent="0.25">
      <c r="A7" s="2">
        <v>46091</v>
      </c>
      <c r="B7" t="s">
        <v>32</v>
      </c>
      <c r="C7" t="s">
        <v>33</v>
      </c>
      <c r="D7" t="s">
        <v>12</v>
      </c>
      <c r="E7" t="s">
        <v>32</v>
      </c>
      <c r="F7" t="s">
        <v>34</v>
      </c>
      <c r="G7">
        <v>30</v>
      </c>
      <c r="H7" t="s">
        <v>21</v>
      </c>
      <c r="I7"/>
      <c r="J7" t="s">
        <v>35</v>
      </c>
    </row>
    <row r="8" spans="1:10" x14ac:dyDescent="0.25">
      <c r="A8" s="2">
        <v>46094</v>
      </c>
      <c r="B8" t="s">
        <v>36</v>
      </c>
      <c r="C8" t="s">
        <v>37</v>
      </c>
      <c r="D8" t="s">
        <v>12</v>
      </c>
      <c r="E8" t="s">
        <v>36</v>
      </c>
      <c r="F8" t="s">
        <v>38</v>
      </c>
      <c r="G8">
        <v>60</v>
      </c>
      <c r="H8" t="s">
        <v>21</v>
      </c>
      <c r="I8"/>
      <c r="J8" t="s">
        <v>39</v>
      </c>
    </row>
    <row r="9" spans="1:10" x14ac:dyDescent="0.25">
      <c r="A9" s="2">
        <v>46099</v>
      </c>
      <c r="B9" t="s">
        <v>17</v>
      </c>
      <c r="C9" t="s">
        <v>11</v>
      </c>
      <c r="D9" t="s">
        <v>12</v>
      </c>
      <c r="E9" t="s">
        <v>17</v>
      </c>
      <c r="F9" t="s">
        <v>40</v>
      </c>
      <c r="G9">
        <v>25</v>
      </c>
      <c r="H9" t="s">
        <v>21</v>
      </c>
      <c r="I9"/>
      <c r="J9" t="s">
        <v>41</v>
      </c>
    </row>
    <row r="10" spans="1:10" x14ac:dyDescent="0.25">
      <c r="A10" s="2">
        <v>46099</v>
      </c>
      <c r="B10" t="s">
        <v>32</v>
      </c>
      <c r="C10" t="s">
        <v>42</v>
      </c>
      <c r="D10" t="s">
        <v>12</v>
      </c>
      <c r="E10" t="s">
        <v>27</v>
      </c>
      <c r="F10" t="s">
        <v>43</v>
      </c>
      <c r="G10">
        <v>35</v>
      </c>
      <c r="H10" t="s">
        <v>21</v>
      </c>
      <c r="I10"/>
      <c r="J10" t="s">
        <v>44</v>
      </c>
    </row>
    <row r="11" spans="1:10" x14ac:dyDescent="0.25">
      <c r="A11" s="2">
        <v>46100</v>
      </c>
      <c r="B11" t="s">
        <v>32</v>
      </c>
      <c r="C11" t="s">
        <v>45</v>
      </c>
      <c r="D11" t="s">
        <v>12</v>
      </c>
      <c r="E11" t="s">
        <v>27</v>
      </c>
      <c r="F11" t="s">
        <v>46</v>
      </c>
      <c r="G11">
        <v>90</v>
      </c>
      <c r="H11" t="s">
        <v>21</v>
      </c>
      <c r="I11"/>
      <c r="J11" t="s">
        <v>47</v>
      </c>
    </row>
    <row r="12" spans="1:10" x14ac:dyDescent="0.25">
      <c r="A12" s="2">
        <v>46101</v>
      </c>
      <c r="B12" t="s">
        <v>48</v>
      </c>
      <c r="C12" t="s">
        <v>49</v>
      </c>
      <c r="D12" t="s">
        <v>12</v>
      </c>
      <c r="E12" t="s">
        <v>17</v>
      </c>
      <c r="F12" t="s">
        <v>50</v>
      </c>
      <c r="G12">
        <v>40</v>
      </c>
      <c r="H12" t="s">
        <v>21</v>
      </c>
      <c r="I12"/>
      <c r="J12" t="s">
        <v>51</v>
      </c>
    </row>
    <row r="13" spans="1:10" x14ac:dyDescent="0.25">
      <c r="A13" s="2">
        <v>46106</v>
      </c>
      <c r="B13" t="s">
        <v>48</v>
      </c>
      <c r="C13" t="s">
        <v>29</v>
      </c>
      <c r="D13" t="s">
        <v>12</v>
      </c>
      <c r="E13" t="s">
        <v>52</v>
      </c>
      <c r="F13" t="s">
        <v>53</v>
      </c>
      <c r="G13">
        <v>10</v>
      </c>
      <c r="H13" t="s">
        <v>21</v>
      </c>
      <c r="I13"/>
      <c r="J13" t="s">
        <v>54</v>
      </c>
    </row>
    <row r="14" spans="1:10" x14ac:dyDescent="0.25">
      <c r="A14" s="2">
        <v>46111</v>
      </c>
      <c r="B14" t="s">
        <v>36</v>
      </c>
      <c r="C14" t="s">
        <v>55</v>
      </c>
      <c r="D14" t="s">
        <v>12</v>
      </c>
      <c r="E14" t="s">
        <v>56</v>
      </c>
      <c r="F14" t="s">
        <v>57</v>
      </c>
      <c r="G14">
        <v>105</v>
      </c>
      <c r="H14" t="s">
        <v>21</v>
      </c>
      <c r="I14"/>
      <c r="J14" t="s">
        <v>58</v>
      </c>
    </row>
    <row r="15" spans="1:10" x14ac:dyDescent="0.25">
      <c r="A15" s="2">
        <v>46111</v>
      </c>
      <c r="B15" t="s">
        <v>10</v>
      </c>
      <c r="C15" t="s">
        <v>59</v>
      </c>
      <c r="D15" t="s">
        <v>12</v>
      </c>
      <c r="E15" t="s">
        <v>27</v>
      </c>
      <c r="F15" t="s">
        <v>14</v>
      </c>
      <c r="G15">
        <v>60</v>
      </c>
      <c r="H15" t="s">
        <v>21</v>
      </c>
      <c r="I15"/>
      <c r="J15" t="s">
        <v>60</v>
      </c>
    </row>
    <row r="16" spans="1:10" x14ac:dyDescent="0.25">
      <c r="A16" s="2">
        <v>46111</v>
      </c>
      <c r="B16" t="s">
        <v>32</v>
      </c>
      <c r="C16" t="s">
        <v>61</v>
      </c>
      <c r="D16" t="s">
        <v>12</v>
      </c>
      <c r="E16" t="s">
        <v>27</v>
      </c>
      <c r="F16" t="s">
        <v>62</v>
      </c>
      <c r="G16">
        <v>25</v>
      </c>
      <c r="H16" t="s">
        <v>15</v>
      </c>
      <c r="I16"/>
      <c r="J16" t="s">
        <v>63</v>
      </c>
    </row>
    <row r="17" spans="1:10" x14ac:dyDescent="0.25">
      <c r="A17" s="2">
        <v>46112</v>
      </c>
      <c r="B17" t="s">
        <v>17</v>
      </c>
      <c r="C17" t="s">
        <v>23</v>
      </c>
      <c r="D17" t="s">
        <v>12</v>
      </c>
      <c r="E17" t="s">
        <v>17</v>
      </c>
      <c r="F17" t="s">
        <v>30</v>
      </c>
      <c r="G17">
        <v>240</v>
      </c>
      <c r="H17" t="s">
        <v>21</v>
      </c>
      <c r="I17"/>
      <c r="J17" t="s">
        <v>28</v>
      </c>
    </row>
    <row r="18" spans="1:10" x14ac:dyDescent="0.25">
      <c r="A18" s="2">
        <v>46113</v>
      </c>
      <c r="B18" t="s">
        <v>17</v>
      </c>
      <c r="C18" t="s">
        <v>64</v>
      </c>
      <c r="D18" t="s">
        <v>12</v>
      </c>
      <c r="E18" t="s">
        <v>65</v>
      </c>
      <c r="F18" t="s">
        <v>66</v>
      </c>
      <c r="G18">
        <v>15</v>
      </c>
      <c r="H18" t="s">
        <v>15</v>
      </c>
      <c r="I18"/>
      <c r="J18" t="s">
        <v>67</v>
      </c>
    </row>
    <row r="19" spans="1:10" x14ac:dyDescent="0.25">
      <c r="A19" s="2">
        <v>46113</v>
      </c>
      <c r="B19" t="s">
        <v>48</v>
      </c>
      <c r="C19" t="s">
        <v>68</v>
      </c>
      <c r="D19" t="s">
        <v>12</v>
      </c>
      <c r="E19" t="s">
        <v>52</v>
      </c>
      <c r="F19" t="s">
        <v>50</v>
      </c>
      <c r="G19">
        <v>90</v>
      </c>
      <c r="H19" t="s">
        <v>15</v>
      </c>
      <c r="I19"/>
      <c r="J19" t="s">
        <v>69</v>
      </c>
    </row>
    <row r="20" spans="1:10" x14ac:dyDescent="0.25">
      <c r="A20" s="2">
        <v>46121</v>
      </c>
      <c r="B20" t="s">
        <v>48</v>
      </c>
      <c r="C20" t="s">
        <v>68</v>
      </c>
      <c r="D20" t="s">
        <v>12</v>
      </c>
      <c r="E20" t="s">
        <v>17</v>
      </c>
      <c r="F20" t="s">
        <v>70</v>
      </c>
      <c r="G20">
        <v>15</v>
      </c>
      <c r="H20" t="s">
        <v>21</v>
      </c>
      <c r="I20"/>
      <c r="J20" t="s">
        <v>71</v>
      </c>
    </row>
    <row r="21" spans="1:10" x14ac:dyDescent="0.25">
      <c r="A21" s="2">
        <v>46121</v>
      </c>
      <c r="B21" t="s">
        <v>17</v>
      </c>
      <c r="C21" t="s">
        <v>23</v>
      </c>
      <c r="D21" t="s">
        <v>12</v>
      </c>
      <c r="E21" t="s">
        <v>65</v>
      </c>
      <c r="F21" t="s">
        <v>72</v>
      </c>
      <c r="G21">
        <v>60</v>
      </c>
      <c r="H21" t="s">
        <v>21</v>
      </c>
      <c r="I21"/>
      <c r="J21" t="s">
        <v>26</v>
      </c>
    </row>
    <row r="22" spans="1:10" x14ac:dyDescent="0.25">
      <c r="A22" s="2">
        <v>46127</v>
      </c>
      <c r="B22" t="s">
        <v>36</v>
      </c>
      <c r="C22" t="s">
        <v>18</v>
      </c>
      <c r="D22" t="s">
        <v>12</v>
      </c>
      <c r="E22" t="s">
        <v>36</v>
      </c>
      <c r="F22" t="s">
        <v>73</v>
      </c>
      <c r="G22">
        <v>15</v>
      </c>
      <c r="H22" t="s">
        <v>21</v>
      </c>
      <c r="I22"/>
      <c r="J22" t="s">
        <v>74</v>
      </c>
    </row>
    <row r="23" spans="1:10" x14ac:dyDescent="0.25">
      <c r="A23" s="2">
        <v>46128</v>
      </c>
      <c r="B23" t="s">
        <v>17</v>
      </c>
      <c r="C23" t="s">
        <v>75</v>
      </c>
      <c r="D23" t="s">
        <v>12</v>
      </c>
      <c r="E23" t="s">
        <v>17</v>
      </c>
      <c r="F23" t="s">
        <v>20</v>
      </c>
      <c r="G23">
        <v>30</v>
      </c>
      <c r="H23" t="s">
        <v>21</v>
      </c>
      <c r="I23"/>
      <c r="J23" t="s">
        <v>76</v>
      </c>
    </row>
    <row r="24" spans="1:10" x14ac:dyDescent="0.25">
      <c r="A24" s="2">
        <v>46132</v>
      </c>
      <c r="B24" t="s">
        <v>10</v>
      </c>
      <c r="C24" t="s">
        <v>18</v>
      </c>
      <c r="D24" t="s">
        <v>12</v>
      </c>
      <c r="E24" t="s">
        <v>24</v>
      </c>
      <c r="F24" t="s">
        <v>77</v>
      </c>
      <c r="G24">
        <v>210</v>
      </c>
      <c r="H24" t="s">
        <v>15</v>
      </c>
      <c r="I24"/>
      <c r="J24" t="s">
        <v>74</v>
      </c>
    </row>
    <row r="25" spans="1:10" x14ac:dyDescent="0.25">
      <c r="A25" s="2">
        <v>46134</v>
      </c>
      <c r="B25" t="s">
        <v>32</v>
      </c>
      <c r="C25" t="s">
        <v>78</v>
      </c>
      <c r="D25" t="s">
        <v>12</v>
      </c>
      <c r="E25" t="s">
        <v>79</v>
      </c>
      <c r="F25" t="s">
        <v>80</v>
      </c>
      <c r="G25">
        <v>50</v>
      </c>
      <c r="H25" t="s">
        <v>21</v>
      </c>
      <c r="I25"/>
      <c r="J25" t="s">
        <v>81</v>
      </c>
    </row>
    <row r="26" spans="1:10" x14ac:dyDescent="0.25">
      <c r="A26" s="2">
        <v>46134</v>
      </c>
      <c r="B26" t="s">
        <v>10</v>
      </c>
      <c r="C26" t="s">
        <v>55</v>
      </c>
      <c r="D26" t="s">
        <v>12</v>
      </c>
      <c r="E26" t="s">
        <v>27</v>
      </c>
      <c r="F26" t="s">
        <v>25</v>
      </c>
      <c r="G26">
        <v>45</v>
      </c>
      <c r="H26" t="s">
        <v>15</v>
      </c>
      <c r="I26"/>
      <c r="J26" t="s">
        <v>58</v>
      </c>
    </row>
  </sheetData>
  <autoFilter ref="A1:J26" xr:uid="{00000000-0009-0000-0000-000004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ConversionTable</vt:lpstr>
      <vt:lpstr>All Colleagues</vt:lpstr>
      <vt:lpstr>John Otto</vt:lpstr>
      <vt:lpstr>Chad Smith</vt:lpstr>
      <vt:lpstr>Les Claypool</vt:lpstr>
      <vt:lpstr>Kevin Borich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Beau Gaudron</cp:lastModifiedBy>
  <dcterms:created xsi:type="dcterms:W3CDTF">2026-04-27T04:29:43Z</dcterms:created>
  <dcterms:modified xsi:type="dcterms:W3CDTF">2026-04-27T04:48:19Z</dcterms:modified>
</cp:coreProperties>
</file>